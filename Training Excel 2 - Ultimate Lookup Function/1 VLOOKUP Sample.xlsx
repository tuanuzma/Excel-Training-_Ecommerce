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02195011\Desktop\Training\"/>
    </mc:Choice>
  </mc:AlternateContent>
  <xr:revisionPtr revIDLastSave="0" documentId="13_ncr:1_{1469C789-8559-4C9C-9E0A-097C620555F7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Vlookup 1" sheetId="2" r:id="rId1"/>
    <sheet name="Vlookup 2" sheetId="1" r:id="rId2"/>
    <sheet name="Vlookup 3" sheetId="3" r:id="rId3"/>
    <sheet name="Vlookup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J3" i="4"/>
  <c r="H4" i="3"/>
  <c r="H5" i="3"/>
  <c r="H6" i="3"/>
  <c r="H7" i="3"/>
  <c r="H8" i="3"/>
  <c r="H9" i="3"/>
  <c r="H10" i="3"/>
  <c r="H3" i="3"/>
  <c r="G4" i="1"/>
  <c r="G5" i="1"/>
  <c r="L3" i="2"/>
  <c r="L4" i="2"/>
  <c r="L5" i="2"/>
  <c r="L6" i="2"/>
  <c r="L7" i="2"/>
  <c r="L8" i="2"/>
  <c r="K4" i="4"/>
  <c r="K3" i="4"/>
  <c r="I4" i="3"/>
  <c r="I7" i="3"/>
  <c r="I8" i="3"/>
  <c r="I9" i="3"/>
  <c r="I5" i="3"/>
  <c r="I10" i="3"/>
  <c r="I6" i="3"/>
  <c r="I3" i="3"/>
</calcChain>
</file>

<file path=xl/sharedStrings.xml><?xml version="1.0" encoding="utf-8"?>
<sst xmlns="http://schemas.openxmlformats.org/spreadsheetml/2006/main" count="349" uniqueCount="128">
  <si>
    <t>No. of copies</t>
  </si>
  <si>
    <t>Copies</t>
  </si>
  <si>
    <t>1 to 99</t>
  </si>
  <si>
    <t>100 to 499</t>
  </si>
  <si>
    <t>500 to 999</t>
  </si>
  <si>
    <t>1000 to 1999</t>
  </si>
  <si>
    <t>2000 to 4999</t>
  </si>
  <si>
    <t>5000 to 9999</t>
  </si>
  <si>
    <t>10000 and above</t>
  </si>
  <si>
    <t>Price ($) - Agent</t>
  </si>
  <si>
    <t>Price ($) - Walk-in</t>
  </si>
  <si>
    <t>Name</t>
  </si>
  <si>
    <t>Age</t>
  </si>
  <si>
    <t>Gender</t>
  </si>
  <si>
    <t>Mobile No</t>
  </si>
  <si>
    <t>Alice</t>
  </si>
  <si>
    <t>John</t>
  </si>
  <si>
    <t>Horst</t>
  </si>
  <si>
    <t>Vance</t>
  </si>
  <si>
    <t>Amy</t>
  </si>
  <si>
    <t>Christine</t>
  </si>
  <si>
    <t>Ronald</t>
  </si>
  <si>
    <t>Terry</t>
  </si>
  <si>
    <t>Henry</t>
  </si>
  <si>
    <t>Laura</t>
  </si>
  <si>
    <t>Karl</t>
  </si>
  <si>
    <t>George</t>
  </si>
  <si>
    <t>Fred</t>
  </si>
  <si>
    <t>Susan</t>
  </si>
  <si>
    <t>Janice</t>
  </si>
  <si>
    <t>Ernest</t>
  </si>
  <si>
    <t>Josephine</t>
  </si>
  <si>
    <t>Miller</t>
  </si>
  <si>
    <t>Jon</t>
  </si>
  <si>
    <t>Frank</t>
  </si>
  <si>
    <t>Steve</t>
  </si>
  <si>
    <t>Paul</t>
  </si>
  <si>
    <t>Audrey</t>
  </si>
  <si>
    <t>Wendy</t>
  </si>
  <si>
    <t>Doug</t>
  </si>
  <si>
    <t>Will</t>
  </si>
  <si>
    <t>Perry</t>
  </si>
  <si>
    <t>Male</t>
  </si>
  <si>
    <t>Female</t>
  </si>
  <si>
    <t>012-1150016</t>
  </si>
  <si>
    <t>012-4341991</t>
  </si>
  <si>
    <t>012-7206661</t>
  </si>
  <si>
    <t>012-8890412</t>
  </si>
  <si>
    <t>012-7829647</t>
  </si>
  <si>
    <t>012-2085815</t>
  </si>
  <si>
    <t>012-5187992</t>
  </si>
  <si>
    <t>012-7407164</t>
  </si>
  <si>
    <t>012-7798201</t>
  </si>
  <si>
    <t>012-3675374</t>
  </si>
  <si>
    <t>012-3702009</t>
  </si>
  <si>
    <t>012-9105887</t>
  </si>
  <si>
    <t>012-8911692</t>
  </si>
  <si>
    <t>012-1472340</t>
  </si>
  <si>
    <t>012-6506972</t>
  </si>
  <si>
    <t>012-5502828</t>
  </si>
  <si>
    <t>012-7889421</t>
  </si>
  <si>
    <t>012-2826557</t>
  </si>
  <si>
    <t>012-5912933</t>
  </si>
  <si>
    <t>012-3565450</t>
  </si>
  <si>
    <t>012-3680223</t>
  </si>
  <si>
    <t>012-8374572</t>
  </si>
  <si>
    <t>012-4068933</t>
  </si>
  <si>
    <t>012-4333264</t>
  </si>
  <si>
    <t>012-6127293</t>
  </si>
  <si>
    <t>012-1893949</t>
  </si>
  <si>
    <t>012-2651307</t>
  </si>
  <si>
    <t>012-8384811</t>
  </si>
  <si>
    <t>Price of Blank DVDs</t>
  </si>
  <si>
    <t>Johny</t>
  </si>
  <si>
    <t>Dept</t>
  </si>
  <si>
    <t>Position</t>
  </si>
  <si>
    <t>Accounts</t>
  </si>
  <si>
    <t>Manager</t>
  </si>
  <si>
    <t>Inventory</t>
  </si>
  <si>
    <t>Asst Manager</t>
  </si>
  <si>
    <t>HR</t>
  </si>
  <si>
    <t>Exec</t>
  </si>
  <si>
    <t>Clerk</t>
  </si>
  <si>
    <t>Advertising</t>
  </si>
  <si>
    <t>IT</t>
  </si>
  <si>
    <t>Marketing</t>
  </si>
  <si>
    <t>Purchasing</t>
  </si>
  <si>
    <t>Sales</t>
  </si>
  <si>
    <t>Salary</t>
  </si>
  <si>
    <t>Item ID</t>
  </si>
  <si>
    <t>Product Name</t>
  </si>
  <si>
    <t>Price</t>
  </si>
  <si>
    <t>A-01</t>
  </si>
  <si>
    <t>A-02</t>
  </si>
  <si>
    <t>A-03</t>
  </si>
  <si>
    <t>A-04</t>
  </si>
  <si>
    <t>A-05</t>
  </si>
  <si>
    <t>A-06</t>
  </si>
  <si>
    <t>A-07</t>
  </si>
  <si>
    <t>A-08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</si>
  <si>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</si>
  <si>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</si>
  <si>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</si>
  <si>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</si>
  <si>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</si>
  <si>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</si>
  <si>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</si>
  <si>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</si>
  <si>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Main Table</t>
  </si>
  <si>
    <t>ID Table</t>
  </si>
  <si>
    <t>Price Table</t>
  </si>
  <si>
    <t>Data Validation (Drop Down Lists)</t>
  </si>
  <si>
    <t>Data &gt; Data Tools</t>
  </si>
  <si>
    <t xml:space="preserve">Alt &gt; D &gt; L </t>
  </si>
  <si>
    <t>Capture Active Window</t>
  </si>
  <si>
    <t>Alt + Printscreen</t>
  </si>
  <si>
    <t>Resize Object</t>
  </si>
  <si>
    <r>
      <t xml:space="preserve">Sfift + </t>
    </r>
    <r>
      <rPr>
        <sz val="12"/>
        <color theme="1"/>
        <rFont val="Calibri"/>
        <family val="2"/>
      </rPr>
      <t>←→</t>
    </r>
  </si>
  <si>
    <t>V = Vertical Table</t>
  </si>
  <si>
    <t>1st Col is checking col</t>
  </si>
  <si>
    <t>2nd,3rd,4th, … Col is Answer Col</t>
  </si>
  <si>
    <t>Fill Down</t>
  </si>
  <si>
    <t>Ctrl + D</t>
  </si>
  <si>
    <t>Fill Right</t>
  </si>
  <si>
    <t>Ctrl + R</t>
  </si>
  <si>
    <t>Number Format</t>
  </si>
  <si>
    <t>Ctrl + Shift + !</t>
  </si>
  <si>
    <t>Ctrl + Shift + 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</si>
</sst>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;\(#,##0\)"/>
  </numFmts>
  <fonts count="7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3" borderId="0" applyNumberFormat="0" applyBorder="0" applyAlignment="0" applyProtection="0"/>
  </cellStyleXfs>
  <cellXfs count="20">
    <xf numFmtId="0" fontId="0" fillId="0" borderId="0" xfId="0"/>
    <xf numFmtId="0" fontId="2" fillId="0" borderId="0" xfId="1" applyFont="1" applyBorder="1"/>
    <xf numFmtId="0" fontId="1" fillId="0" borderId="0" xfId="1" applyBorder="1"/>
    <xf numFmtId="0" fontId="2" fillId="2" borderId="1" xfId="1" applyFont="1" applyFill="1" applyBorder="1" applyAlignment="1">
      <alignment horizontal="left"/>
    </xf>
    <xf numFmtId="0" fontId="1" fillId="0" borderId="1" xfId="1" applyBorder="1" applyAlignment="1">
      <alignment horizontal="left"/>
    </xf>
    <xf numFmtId="2" fontId="1" fillId="0" borderId="1" xfId="1" applyNumberFormat="1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2" borderId="0" xfId="0" applyFill="1" applyAlignment="1">
      <alignment horizontal="left"/>
    </xf>
    <xf numFmtId="4" fontId="0" fillId="0" borderId="0" xfId="0" applyNumberFormat="1"/>
    <xf numFmtId="0" fontId="3" fillId="3" borderId="0" xfId="2"/>
    <xf numFmtId="0" fontId="0" fillId="0" borderId="0" xfId="0" applyAlignment="1">
      <alignment horizontal="left"/>
    </xf>
    <xf numFmtId="0" fontId="2" fillId="2" borderId="0" xfId="1" applyFont="1" applyFill="1" applyBorder="1" applyAlignment="1">
      <alignment horizontal="left"/>
    </xf>
    <xf numFmtId="0" fontId="6" fillId="2" borderId="0" xfId="0" applyFont="1" applyFill="1"/>
    <xf numFmtId="0" fontId="1" fillId="0" borderId="0" xfId="1" applyFont="1" applyFill="1" applyBorder="1" applyAlignment="1">
      <alignment horizontal="left"/>
    </xf>
    <xf numFmtId="0" fontId="0" fillId="0" borderId="0" xfId="0" applyNumberFormat="1" applyAlignment="1">
      <alignment horizontal="left"/>
    </xf>
  </cellXfs>
  <cellStyles count="3">
    <cellStyle name="Neutral" xfId="2" builtinId="28"/>
    <cellStyle name="Normal" xfId="0" builtinId="0"/>
    <cellStyle name="Normal 2" xfId="1" xr:uid="{00000000-0005-0000-0000-000001000000}"/>
  </cellStyles>
  <dxfs count="5"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629479</xdr:colOff>
      <xdr:row>5</xdr:row>
      <xdr:rowOff>141311</xdr:rowOff>
    </xdr:from>
    <xdr:to>
      <xdr:col>20</xdr:col>
      <xdr:colOff>254002</xdr:colOff>
      <xdr:row>17</xdr:row>
      <xdr:rowOff>27698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7E794-4A57-45FB-8A22-70333D849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99957" y="1135224"/>
          <a:ext cx="2937566" cy="2271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259522</xdr:colOff>
      <xdr:row>16</xdr:row>
      <xdr:rowOff>93869</xdr:rowOff>
    </xdr:from>
    <xdr:to>
      <xdr:col>6</xdr:col>
      <xdr:colOff>441739</xdr:colOff>
      <xdr:row>23</xdr:row>
      <xdr:rowOff>165652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D241D9-F56C-4500-A42F-4601378D074E}"/>
            </a:ext>
          </a:extLst>
        </xdr:cNvPr>
        <xdr:cNvSpPr txBox="1"/>
      </xdr:nvSpPr>
      <xdr:spPr>
        <a:xfrm>
          <a:off x="259522" y="3274391"/>
          <a:ext cx="5510695" cy="14632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NESTED LOOKUP FUNCTION:</a:t>
          </a:r>
        </a:p>
        <a:p>
          <a:r>
            <a:rPr lang="en-US" sz="1100"/>
            <a:t>-</a:t>
          </a:r>
          <a:r>
            <a:rPr lang="en-US" sz="1100" baseline="0"/>
            <a:t> If have 2 table can nested to two lookup function, if have 3 table can nested to three lookup function.</a:t>
          </a:r>
          <a:br>
            <a:rPr lang="en-US" sz="1100" baseline="0"/>
          </a:br>
          <a:br>
            <a:rPr lang="en-US" sz="1100"/>
          </a:br>
          <a:r>
            <a:rPr lang="en-US" sz="1100"/>
            <a:t>1/</a:t>
          </a:r>
          <a:r>
            <a:rPr lang="en-US" sz="1100" baseline="0"/>
            <a:t> Select the main table (price) . =v/ + tab (vlookup function) &gt; select G3 &gt; select A3B10 &gt; </a:t>
          </a:r>
          <a:br>
            <a:rPr lang="en-US" sz="1100" baseline="0"/>
          </a:br>
          <a:r>
            <a:rPr lang="en-US" sz="1100" baseline="0"/>
            <a:t>then lock fn + F4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31"/>
  <sheetViews>
    <sheetView topLeftCell="C1" zoomScale="115" zoomScaleNormal="115" workbookViewId="0">
      <selection activeCell="L2" sqref="L2"/>
    </sheetView>
  </sheetViews>
  <sheetFormatPr defaultRowHeight="15.5" x14ac:dyDescent="0.35"/>
  <cols>
    <col min="2" max="2" width="10.5" customWidth="1"/>
    <col min="3" max="3" width="10.75" style="8" customWidth="1"/>
    <col min="5" max="5" width="15.08203125" customWidth="1"/>
    <col min="6" max="6" width="11.25" customWidth="1"/>
    <col min="7" max="7" width="12.08203125" bestFit="1" customWidth="1"/>
    <col min="12" max="12" width="12.1640625" style="15" customWidth="1"/>
    <col min="13" max="13" width="19.5" customWidth="1"/>
  </cols>
  <sheetData>
    <row r="1" spans="2:26" x14ac:dyDescent="0.35">
      <c r="Q1" s="6" t="s">
        <v>111</v>
      </c>
      <c r="R1" s="6"/>
      <c r="S1" s="6"/>
      <c r="T1" s="6"/>
      <c r="V1" s="6" t="s">
        <v>114</v>
      </c>
      <c r="W1" s="6"/>
      <c r="X1" s="6"/>
      <c r="Z1" t="s">
        <v>118</v>
      </c>
    </row>
    <row r="2" spans="2:26" x14ac:dyDescent="0.35">
      <c r="B2" s="6" t="s">
        <v>11</v>
      </c>
      <c r="C2" s="7" t="s">
        <v>12</v>
      </c>
      <c r="D2" s="6" t="s">
        <v>13</v>
      </c>
      <c r="E2" s="6" t="s">
        <v>14</v>
      </c>
      <c r="F2" s="6" t="s">
        <v>74</v>
      </c>
      <c r="G2" s="6" t="s">
        <v>75</v>
      </c>
      <c r="H2" s="6" t="s">
        <v>88</v>
      </c>
      <c r="K2" s="12" t="s">
        <v>11</v>
      </c>
      <c r="L2" s="15" t="s">
        <v>19</v>
      </c>
      <c r="Q2" t="s">
        <v>112</v>
      </c>
      <c r="V2" t="s">
        <v>115</v>
      </c>
      <c r="Z2" t="s">
        <v>119</v>
      </c>
    </row>
    <row r="3" spans="2:26" x14ac:dyDescent="0.35">
      <c r="B3" t="s">
        <v>15</v>
      </c>
      <c r="C3" s="8">
        <v>35</v>
      </c>
      <c r="D3" t="s">
        <v>43</v>
      </c>
      <c r="E3" t="s">
        <v>44</v>
      </c>
      <c r="F3" s="9" t="s">
        <v>76</v>
      </c>
      <c r="G3" s="9" t="s">
        <v>77</v>
      </c>
      <c r="H3" s="10">
        <v>4500</v>
      </c>
      <c r="K3" s="12" t="s">
        <v>12</v>
      </c>
      <c r="L3" s="15">
        <f>VLOOKUP($L$2,$B$3:$H$30,ROW(A2),0)</f>
        <v>42</v>
      </c>
      <c r="Q3" t="s">
        <v>113</v>
      </c>
      <c r="Z3" t="s">
        <v>120</v>
      </c>
    </row>
    <row r="4" spans="2:26" x14ac:dyDescent="0.35">
      <c r="B4" t="s">
        <v>16</v>
      </c>
      <c r="C4" s="8">
        <v>35</v>
      </c>
      <c r="D4" t="s">
        <v>42</v>
      </c>
      <c r="E4" t="s">
        <v>45</v>
      </c>
      <c r="F4" s="9" t="s">
        <v>78</v>
      </c>
      <c r="G4" s="9" t="s">
        <v>79</v>
      </c>
      <c r="H4" s="10">
        <v>3410</v>
      </c>
      <c r="K4" s="12" t="s">
        <v>13</v>
      </c>
      <c r="L4" s="15" t="str">
        <f t="shared" ref="L4:L8" si="0">VLOOKUP($L$2,$B$3:$H$30,ROW(A3),0)</f>
        <v>Female</v>
      </c>
      <c r="V4" s="6" t="s">
        <v>116</v>
      </c>
      <c r="W4" s="6"/>
    </row>
    <row r="5" spans="2:26" x14ac:dyDescent="0.35">
      <c r="B5" t="s">
        <v>17</v>
      </c>
      <c r="C5" s="8">
        <v>19</v>
      </c>
      <c r="D5" t="s">
        <v>42</v>
      </c>
      <c r="E5" t="s">
        <v>46</v>
      </c>
      <c r="F5" s="9" t="s">
        <v>80</v>
      </c>
      <c r="G5" s="9" t="s">
        <v>81</v>
      </c>
      <c r="H5" s="10">
        <v>2270</v>
      </c>
      <c r="K5" s="12" t="s">
        <v>14</v>
      </c>
      <c r="L5" s="15" t="str">
        <f t="shared" si="0"/>
        <v>012-7829647</v>
      </c>
      <c r="V5" t="s">
        <v>117</v>
      </c>
    </row>
    <row r="6" spans="2:26" x14ac:dyDescent="0.35">
      <c r="B6" t="s">
        <v>18</v>
      </c>
      <c r="C6" s="8">
        <v>64</v>
      </c>
      <c r="D6" t="s">
        <v>43</v>
      </c>
      <c r="E6" t="s">
        <v>47</v>
      </c>
      <c r="F6" s="9" t="s">
        <v>80</v>
      </c>
      <c r="G6" s="9" t="s">
        <v>82</v>
      </c>
      <c r="H6" s="10">
        <v>1250</v>
      </c>
      <c r="K6" s="12" t="s">
        <v>74</v>
      </c>
      <c r="L6" s="15" t="str">
        <f t="shared" si="0"/>
        <v>Inventory</v>
      </c>
    </row>
    <row r="7" spans="2:26" x14ac:dyDescent="0.35">
      <c r="B7" t="s">
        <v>19</v>
      </c>
      <c r="C7" s="8">
        <v>42</v>
      </c>
      <c r="D7" t="s">
        <v>43</v>
      </c>
      <c r="E7" t="s">
        <v>48</v>
      </c>
      <c r="F7" s="9" t="s">
        <v>78</v>
      </c>
      <c r="G7" s="9" t="s">
        <v>79</v>
      </c>
      <c r="H7" s="10">
        <v>3650</v>
      </c>
      <c r="K7" s="12" t="s">
        <v>75</v>
      </c>
      <c r="L7" s="15" t="str">
        <f t="shared" si="0"/>
        <v>Asst Manager</v>
      </c>
    </row>
    <row r="8" spans="2:26" x14ac:dyDescent="0.35">
      <c r="B8" t="s">
        <v>20</v>
      </c>
      <c r="C8" s="8">
        <v>24</v>
      </c>
      <c r="D8" t="s">
        <v>43</v>
      </c>
      <c r="E8" t="s">
        <v>49</v>
      </c>
      <c r="F8" s="9" t="s">
        <v>83</v>
      </c>
      <c r="G8" s="9" t="s">
        <v>81</v>
      </c>
      <c r="H8" s="10">
        <v>2240</v>
      </c>
      <c r="K8" s="12" t="s">
        <v>88</v>
      </c>
      <c r="L8" s="15">
        <f t="shared" si="0"/>
        <v>3650</v>
      </c>
    </row>
    <row r="9" spans="2:26" x14ac:dyDescent="0.35">
      <c r="B9" t="s">
        <v>21</v>
      </c>
      <c r="C9" s="8">
        <v>25</v>
      </c>
      <c r="D9" t="s">
        <v>42</v>
      </c>
      <c r="E9" t="s">
        <v>50</v>
      </c>
      <c r="F9" s="9" t="s">
        <v>83</v>
      </c>
      <c r="G9" s="9" t="s">
        <v>82</v>
      </c>
      <c r="H9" s="10">
        <v>1940</v>
      </c>
    </row>
    <row r="10" spans="2:26" x14ac:dyDescent="0.35">
      <c r="B10" t="s">
        <v>22</v>
      </c>
      <c r="C10" s="8">
        <v>54</v>
      </c>
      <c r="D10" t="s">
        <v>42</v>
      </c>
      <c r="E10" t="s">
        <v>51</v>
      </c>
      <c r="F10" s="9" t="s">
        <v>80</v>
      </c>
      <c r="G10" s="9" t="s">
        <v>77</v>
      </c>
      <c r="H10" s="10">
        <v>4200</v>
      </c>
    </row>
    <row r="11" spans="2:26" x14ac:dyDescent="0.35">
      <c r="B11" t="s">
        <v>73</v>
      </c>
      <c r="C11" s="8">
        <v>33</v>
      </c>
      <c r="D11" t="s">
        <v>42</v>
      </c>
      <c r="E11" t="s">
        <v>52</v>
      </c>
      <c r="F11" s="9" t="s">
        <v>84</v>
      </c>
      <c r="G11" s="9" t="s">
        <v>81</v>
      </c>
      <c r="H11" s="10">
        <v>2850</v>
      </c>
    </row>
    <row r="12" spans="2:26" x14ac:dyDescent="0.35">
      <c r="B12" t="s">
        <v>23</v>
      </c>
      <c r="C12" s="8">
        <v>35</v>
      </c>
      <c r="D12" t="s">
        <v>42</v>
      </c>
      <c r="E12" t="s">
        <v>53</v>
      </c>
      <c r="F12" s="9" t="s">
        <v>85</v>
      </c>
      <c r="G12" s="9" t="s">
        <v>81</v>
      </c>
      <c r="H12" s="10">
        <v>2030</v>
      </c>
    </row>
    <row r="13" spans="2:26" x14ac:dyDescent="0.35">
      <c r="B13" t="s">
        <v>24</v>
      </c>
      <c r="C13" s="8">
        <v>28</v>
      </c>
      <c r="D13" t="s">
        <v>43</v>
      </c>
      <c r="E13" t="s">
        <v>54</v>
      </c>
      <c r="F13" s="9" t="s">
        <v>85</v>
      </c>
      <c r="G13" s="9" t="s">
        <v>79</v>
      </c>
      <c r="H13" s="10">
        <v>3490</v>
      </c>
    </row>
    <row r="14" spans="2:26" x14ac:dyDescent="0.35">
      <c r="B14" t="s">
        <v>25</v>
      </c>
      <c r="C14" s="8">
        <v>39</v>
      </c>
      <c r="D14" t="s">
        <v>43</v>
      </c>
      <c r="E14" t="s">
        <v>55</v>
      </c>
      <c r="F14" s="9" t="s">
        <v>78</v>
      </c>
      <c r="G14" s="9" t="s">
        <v>81</v>
      </c>
      <c r="H14" s="10">
        <v>1500</v>
      </c>
    </row>
    <row r="15" spans="2:26" x14ac:dyDescent="0.35">
      <c r="B15" t="s">
        <v>26</v>
      </c>
      <c r="C15" s="8">
        <v>24</v>
      </c>
      <c r="D15" t="s">
        <v>42</v>
      </c>
      <c r="E15" t="s">
        <v>56</v>
      </c>
      <c r="F15" s="9" t="s">
        <v>76</v>
      </c>
      <c r="G15" s="9" t="s">
        <v>81</v>
      </c>
      <c r="H15" s="10">
        <v>2070</v>
      </c>
    </row>
    <row r="16" spans="2:26" x14ac:dyDescent="0.35">
      <c r="B16" t="s">
        <v>27</v>
      </c>
      <c r="C16" s="8">
        <v>55</v>
      </c>
      <c r="D16" t="s">
        <v>42</v>
      </c>
      <c r="E16" t="s">
        <v>57</v>
      </c>
      <c r="F16" s="9" t="s">
        <v>86</v>
      </c>
      <c r="G16" s="9" t="s">
        <v>81</v>
      </c>
      <c r="H16" s="10">
        <v>2580</v>
      </c>
    </row>
    <row r="17" spans="2:9" x14ac:dyDescent="0.35">
      <c r="B17" t="s">
        <v>28</v>
      </c>
      <c r="C17" s="8">
        <v>65</v>
      </c>
      <c r="D17" t="s">
        <v>43</v>
      </c>
      <c r="E17" t="s">
        <v>58</v>
      </c>
      <c r="F17" s="9" t="s">
        <v>78</v>
      </c>
      <c r="G17" s="9" t="s">
        <v>82</v>
      </c>
      <c r="H17" s="10">
        <v>1120</v>
      </c>
    </row>
    <row r="18" spans="2:9" x14ac:dyDescent="0.35">
      <c r="B18" t="s">
        <v>29</v>
      </c>
      <c r="C18" s="8">
        <v>65</v>
      </c>
      <c r="D18" t="s">
        <v>43</v>
      </c>
      <c r="E18" t="s">
        <v>59</v>
      </c>
      <c r="F18" s="9" t="s">
        <v>84</v>
      </c>
      <c r="G18" s="9" t="s">
        <v>77</v>
      </c>
      <c r="H18" s="10">
        <v>4350</v>
      </c>
    </row>
    <row r="19" spans="2:9" x14ac:dyDescent="0.35">
      <c r="B19" t="s">
        <v>30</v>
      </c>
      <c r="C19" s="8">
        <v>39</v>
      </c>
      <c r="D19" t="s">
        <v>43</v>
      </c>
      <c r="E19" t="s">
        <v>60</v>
      </c>
      <c r="F19" s="9" t="s">
        <v>84</v>
      </c>
      <c r="G19" s="9" t="s">
        <v>81</v>
      </c>
      <c r="H19" s="10">
        <v>2080</v>
      </c>
    </row>
    <row r="20" spans="2:9" x14ac:dyDescent="0.35">
      <c r="B20" t="s">
        <v>31</v>
      </c>
      <c r="C20" s="8">
        <v>18</v>
      </c>
      <c r="D20" t="s">
        <v>43</v>
      </c>
      <c r="E20" t="s">
        <v>61</v>
      </c>
      <c r="F20" s="9" t="s">
        <v>76</v>
      </c>
      <c r="G20" s="9" t="s">
        <v>81</v>
      </c>
      <c r="H20" s="10">
        <v>2910</v>
      </c>
    </row>
    <row r="21" spans="2:9" x14ac:dyDescent="0.35">
      <c r="B21" t="s">
        <v>32</v>
      </c>
      <c r="C21" s="8">
        <v>30</v>
      </c>
      <c r="D21" t="s">
        <v>42</v>
      </c>
      <c r="E21" t="s">
        <v>62</v>
      </c>
      <c r="F21" s="9" t="s">
        <v>76</v>
      </c>
      <c r="G21" s="9" t="s">
        <v>77</v>
      </c>
      <c r="H21" s="10">
        <v>4000</v>
      </c>
    </row>
    <row r="22" spans="2:9" x14ac:dyDescent="0.35">
      <c r="B22" t="s">
        <v>33</v>
      </c>
      <c r="C22" s="8">
        <v>33</v>
      </c>
      <c r="D22" t="s">
        <v>43</v>
      </c>
      <c r="E22" t="s">
        <v>63</v>
      </c>
      <c r="F22" s="9" t="s">
        <v>83</v>
      </c>
      <c r="G22" s="9" t="s">
        <v>81</v>
      </c>
      <c r="H22" s="10">
        <v>1840</v>
      </c>
    </row>
    <row r="23" spans="2:9" x14ac:dyDescent="0.35">
      <c r="B23" t="s">
        <v>34</v>
      </c>
      <c r="C23" s="8">
        <v>21</v>
      </c>
      <c r="D23" t="s">
        <v>42</v>
      </c>
      <c r="E23" t="s">
        <v>64</v>
      </c>
      <c r="F23" s="9" t="s">
        <v>85</v>
      </c>
      <c r="G23" s="9" t="s">
        <v>82</v>
      </c>
      <c r="H23" s="10">
        <v>1050</v>
      </c>
    </row>
    <row r="24" spans="2:9" x14ac:dyDescent="0.35">
      <c r="B24" t="s">
        <v>35</v>
      </c>
      <c r="C24" s="8">
        <v>36</v>
      </c>
      <c r="D24" t="s">
        <v>42</v>
      </c>
      <c r="E24" t="s">
        <v>65</v>
      </c>
      <c r="F24" s="9" t="s">
        <v>86</v>
      </c>
      <c r="G24" s="9" t="s">
        <v>77</v>
      </c>
      <c r="H24" s="10">
        <v>4800</v>
      </c>
    </row>
    <row r="25" spans="2:9" x14ac:dyDescent="0.35">
      <c r="B25" t="s">
        <v>36</v>
      </c>
      <c r="C25" s="8">
        <v>65</v>
      </c>
      <c r="D25" t="s">
        <v>42</v>
      </c>
      <c r="E25" t="s">
        <v>66</v>
      </c>
      <c r="F25" s="9" t="s">
        <v>87</v>
      </c>
      <c r="G25" s="9" t="s">
        <v>79</v>
      </c>
      <c r="H25" s="10">
        <v>3940</v>
      </c>
    </row>
    <row r="26" spans="2:9" x14ac:dyDescent="0.35">
      <c r="B26" t="s">
        <v>37</v>
      </c>
      <c r="C26" s="8">
        <v>20</v>
      </c>
      <c r="D26" t="s">
        <v>43</v>
      </c>
      <c r="E26" t="s">
        <v>67</v>
      </c>
      <c r="F26" s="9" t="s">
        <v>78</v>
      </c>
      <c r="G26" s="9" t="s">
        <v>81</v>
      </c>
      <c r="H26" s="10">
        <v>2770</v>
      </c>
    </row>
    <row r="27" spans="2:9" x14ac:dyDescent="0.35">
      <c r="B27" t="s">
        <v>38</v>
      </c>
      <c r="C27" s="8">
        <v>34</v>
      </c>
      <c r="D27" t="s">
        <v>43</v>
      </c>
      <c r="E27" t="s">
        <v>68</v>
      </c>
      <c r="F27" s="9" t="s">
        <v>87</v>
      </c>
      <c r="G27" s="9" t="s">
        <v>82</v>
      </c>
      <c r="H27" s="10">
        <v>1270</v>
      </c>
    </row>
    <row r="28" spans="2:9" x14ac:dyDescent="0.35">
      <c r="B28" t="s">
        <v>39</v>
      </c>
      <c r="C28" s="8">
        <v>56</v>
      </c>
      <c r="D28" t="s">
        <v>42</v>
      </c>
      <c r="E28" t="s">
        <v>69</v>
      </c>
      <c r="F28" s="9" t="s">
        <v>87</v>
      </c>
      <c r="G28" s="9" t="s">
        <v>81</v>
      </c>
      <c r="H28" s="10">
        <v>2250</v>
      </c>
      <c r="I28" s="10"/>
    </row>
    <row r="29" spans="2:9" x14ac:dyDescent="0.35">
      <c r="B29" t="s">
        <v>40</v>
      </c>
      <c r="C29" s="8">
        <v>58</v>
      </c>
      <c r="D29" t="s">
        <v>42</v>
      </c>
      <c r="E29" t="s">
        <v>70</v>
      </c>
      <c r="F29" s="9" t="s">
        <v>86</v>
      </c>
      <c r="G29" s="9" t="s">
        <v>81</v>
      </c>
      <c r="H29" s="10">
        <v>2230</v>
      </c>
      <c r="I29" s="10"/>
    </row>
    <row r="30" spans="2:9" x14ac:dyDescent="0.35">
      <c r="B30" t="s">
        <v>41</v>
      </c>
      <c r="C30" s="8">
        <v>60</v>
      </c>
      <c r="D30" t="s">
        <v>42</v>
      </c>
      <c r="E30" t="s">
        <v>71</v>
      </c>
      <c r="F30" s="11" t="s">
        <v>86</v>
      </c>
      <c r="G30" s="11" t="s">
        <v>81</v>
      </c>
      <c r="H30" s="11">
        <v>2930</v>
      </c>
      <c r="I30" s="11"/>
    </row>
    <row r="31" spans="2:9" x14ac:dyDescent="0.35">
      <c r="F31" s="9"/>
      <c r="G31" s="9"/>
      <c r="H31" s="10"/>
      <c r="I31" s="10"/>
    </row>
  </sheetData>
  <conditionalFormatting sqref="B3:H30">
    <cfRule type="expression" dxfId="1" priority="1">
      <formula>$B3=$L$2</formula>
    </cfRule>
  </conditionalFormatting>
  <dataValidations count="1">
    <dataValidation type="list" allowBlank="1" showInputMessage="1" showErrorMessage="1" sqref="L2" xr:uid="{D58AE012-EFB8-4474-B020-42793EAF04EE}">
      <formula1>$B$3:$B$30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="130" zoomScaleNormal="130" workbookViewId="0">
      <selection activeCell="H12" sqref="H12"/>
    </sheetView>
  </sheetViews>
  <sheetFormatPr defaultRowHeight="15.5" x14ac:dyDescent="0.35"/>
  <cols>
    <col min="1" max="1" width="18.25" customWidth="1"/>
    <col min="2" max="3" width="13.58203125" customWidth="1"/>
    <col min="4" max="4" width="15" customWidth="1"/>
    <col min="5" max="5" width="4.75" customWidth="1"/>
    <col min="6" max="6" width="14.33203125" customWidth="1"/>
  </cols>
  <sheetData>
    <row r="1" spans="1:7" x14ac:dyDescent="0.35">
      <c r="A1" s="1" t="s">
        <v>72</v>
      </c>
      <c r="B1" s="1"/>
      <c r="C1" s="2"/>
      <c r="D1" s="2"/>
    </row>
    <row r="2" spans="1:7" x14ac:dyDescent="0.35">
      <c r="A2" s="2"/>
      <c r="B2" s="2"/>
      <c r="C2" s="2"/>
      <c r="D2" s="2"/>
    </row>
    <row r="3" spans="1:7" x14ac:dyDescent="0.35">
      <c r="A3" s="3" t="s">
        <v>0</v>
      </c>
      <c r="B3" s="3" t="s">
        <v>1</v>
      </c>
      <c r="C3" s="3" t="s">
        <v>9</v>
      </c>
      <c r="D3" s="3" t="s">
        <v>10</v>
      </c>
      <c r="F3" s="3" t="s">
        <v>1</v>
      </c>
      <c r="G3">
        <v>3222</v>
      </c>
    </row>
    <row r="4" spans="1:7" x14ac:dyDescent="0.35">
      <c r="A4" s="4" t="s">
        <v>2</v>
      </c>
      <c r="B4" s="4">
        <v>1</v>
      </c>
      <c r="C4" s="5">
        <v>1.5</v>
      </c>
      <c r="D4" s="5">
        <v>1.7</v>
      </c>
      <c r="F4" s="3" t="s">
        <v>9</v>
      </c>
      <c r="G4" s="13">
        <f>VLOOKUP($G$3,$B$4:$D$10,ROW(A2),TRUE)</f>
        <v>0.95</v>
      </c>
    </row>
    <row r="5" spans="1:7" x14ac:dyDescent="0.35">
      <c r="A5" s="4" t="s">
        <v>3</v>
      </c>
      <c r="B5" s="4">
        <v>100</v>
      </c>
      <c r="C5" s="5">
        <v>1.35</v>
      </c>
      <c r="D5" s="5">
        <v>1.5</v>
      </c>
      <c r="F5" s="3" t="s">
        <v>10</v>
      </c>
      <c r="G5" s="13">
        <f>VLOOKUP($G$3,$B$4:$D$10,ROW(A3),TRUE)</f>
        <v>1.1000000000000001</v>
      </c>
    </row>
    <row r="6" spans="1:7" x14ac:dyDescent="0.35">
      <c r="A6" s="4" t="s">
        <v>4</v>
      </c>
      <c r="B6" s="4">
        <v>500</v>
      </c>
      <c r="C6" s="5">
        <v>1.2</v>
      </c>
      <c r="D6" s="5">
        <v>1.35</v>
      </c>
    </row>
    <row r="7" spans="1:7" x14ac:dyDescent="0.35">
      <c r="A7" s="4" t="s">
        <v>5</v>
      </c>
      <c r="B7" s="4">
        <v>1000</v>
      </c>
      <c r="C7" s="5">
        <v>1.05</v>
      </c>
      <c r="D7" s="5">
        <v>1.2</v>
      </c>
    </row>
    <row r="8" spans="1:7" x14ac:dyDescent="0.35">
      <c r="A8" s="4" t="s">
        <v>6</v>
      </c>
      <c r="B8" s="4">
        <v>2000</v>
      </c>
      <c r="C8" s="5">
        <v>0.95</v>
      </c>
      <c r="D8" s="5">
        <v>1.1000000000000001</v>
      </c>
      <c r="F8" s="16" t="s">
        <v>121</v>
      </c>
      <c r="G8" s="17" t="s">
        <v>123</v>
      </c>
    </row>
    <row r="9" spans="1:7" x14ac:dyDescent="0.35">
      <c r="A9" s="4" t="s">
        <v>7</v>
      </c>
      <c r="B9" s="4">
        <v>5000</v>
      </c>
      <c r="C9" s="5">
        <v>0.9</v>
      </c>
      <c r="D9" s="5">
        <v>1.05</v>
      </c>
      <c r="F9" s="18" t="s">
        <v>122</v>
      </c>
      <c r="G9" t="s">
        <v>124</v>
      </c>
    </row>
    <row r="10" spans="1:7" x14ac:dyDescent="0.35">
      <c r="A10" s="4" t="s">
        <v>8</v>
      </c>
      <c r="B10" s="4">
        <v>10000</v>
      </c>
      <c r="C10" s="5">
        <v>0.85</v>
      </c>
      <c r="D10" s="5">
        <v>0.95</v>
      </c>
    </row>
    <row r="11" spans="1:7" x14ac:dyDescent="0.35">
      <c r="F11" s="6" t="s">
        <v>125</v>
      </c>
    </row>
    <row r="12" spans="1:7" x14ac:dyDescent="0.35">
      <c r="F12" t="s">
        <v>126</v>
      </c>
    </row>
    <row r="13" spans="1:7" x14ac:dyDescent="0.35">
      <c r="F13" t="s">
        <v>127</v>
      </c>
    </row>
  </sheetData>
  <conditionalFormatting sqref="A4:D10">
    <cfRule type="expression" dxfId="4" priority="2">
      <formula>$C4=$G$4</formula>
    </cfRule>
    <cfRule type="expression" dxfId="3" priority="1">
      <formula>$C4=$G$4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91DB-B55B-4A54-926D-410150B74675}">
  <dimension ref="A1:I10"/>
  <sheetViews>
    <sheetView topLeftCell="A7" zoomScale="115" zoomScaleNormal="115" workbookViewId="0">
      <selection activeCell="A14" sqref="A14"/>
    </sheetView>
  </sheetViews>
  <sheetFormatPr defaultRowHeight="15.5" x14ac:dyDescent="0.35"/>
  <cols>
    <col min="1" max="1" width="15.25" customWidth="1"/>
    <col min="2" max="2" width="13.58203125" customWidth="1"/>
    <col min="4" max="4" width="15.08203125" customWidth="1"/>
    <col min="7" max="7" width="10.33203125" customWidth="1"/>
    <col min="8" max="8" width="9.83203125" customWidth="1"/>
  </cols>
  <sheetData>
    <row r="1" spans="1:9" x14ac:dyDescent="0.35">
      <c r="A1" t="s">
        <v>109</v>
      </c>
      <c r="D1" t="s">
        <v>110</v>
      </c>
      <c r="G1" t="s">
        <v>108</v>
      </c>
    </row>
    <row r="2" spans="1:9" x14ac:dyDescent="0.35">
      <c r="A2" s="14" t="s">
        <v>89</v>
      </c>
      <c r="B2" s="14" t="s">
        <v>90</v>
      </c>
      <c r="D2" s="14" t="s">
        <v>90</v>
      </c>
      <c r="E2" s="14" t="s">
        <v>91</v>
      </c>
      <c r="G2" s="14" t="s">
        <v>89</v>
      </c>
      <c r="H2" s="14" t="s">
        <v>91</v>
      </c>
    </row>
    <row r="3" spans="1:9" x14ac:dyDescent="0.35">
      <c r="A3" t="s">
        <v>92</v>
      </c>
      <c r="B3" t="s">
        <v>103</v>
      </c>
      <c r="D3" t="s">
        <v>100</v>
      </c>
      <c r="E3" s="13">
        <v>46.67</v>
      </c>
      <c r="G3" t="s">
        <v>92</v>
      </c>
      <c r="H3" s="13">
        <f>VLOOKUP(VLOOKUP(G3,$A$3:$B$10,2,0),$D$3:$E$10,2,0)</f>
        <v>48.58</v>
      </c>
      <c r="I3" t="str">
        <f ca="1">_xlfn.FORMULATEXT(H3)</f>
        <v>=VLOOKUP(VLOOKUP(G3,$A$3:$B$10,2,0),$D$3:$E$10,2,0)</v>
      </c>
    </row>
    <row r="4" spans="1:9" x14ac:dyDescent="0.35">
      <c r="A4" t="s">
        <v>93</v>
      </c>
      <c r="B4" t="s">
        <v>101</v>
      </c>
      <c r="D4" t="s">
        <v>101</v>
      </c>
      <c r="E4" s="13">
        <v>14.25</v>
      </c>
      <c r="G4" t="s">
        <v>93</v>
      </c>
      <c r="H4" s="13">
        <f t="shared" ref="H4:H10" si="0">VLOOKUP(VLOOKUP(G4,$A$3:$B$10,2,0),$D$3:$E$10,2,0)</f>
        <v>14.25</v>
      </c>
      <c r="I4" t="str">
        <f t="shared" ref="I4:I10" ca="1" si="1">_xlfn.FORMULATEXT(H4)</f>
        <v>=VLOOKUP(VLOOKUP(G4,$A$3:$B$10,2,0),$D$3:$E$10,2,0)</v>
      </c>
    </row>
    <row r="5" spans="1:9" x14ac:dyDescent="0.35">
      <c r="A5" t="s">
        <v>94</v>
      </c>
      <c r="B5" t="s">
        <v>106</v>
      </c>
      <c r="D5" t="s">
        <v>102</v>
      </c>
      <c r="E5" s="13">
        <v>19.47</v>
      </c>
      <c r="G5" t="s">
        <v>94</v>
      </c>
      <c r="H5" s="13">
        <f t="shared" si="0"/>
        <v>45.6</v>
      </c>
      <c r="I5" t="str">
        <f t="shared" ca="1" si="1"/>
        <v>=VLOOKUP(VLOOKUP(G5,$A$3:$B$10,2,0),$D$3:$E$10,2,0)</v>
      </c>
    </row>
    <row r="6" spans="1:9" x14ac:dyDescent="0.35">
      <c r="A6" t="s">
        <v>95</v>
      </c>
      <c r="B6" t="s">
        <v>104</v>
      </c>
      <c r="D6" t="s">
        <v>103</v>
      </c>
      <c r="E6" s="13">
        <v>48.58</v>
      </c>
      <c r="G6" t="s">
        <v>95</v>
      </c>
      <c r="H6" s="13">
        <f t="shared" si="0"/>
        <v>32.86</v>
      </c>
      <c r="I6" t="str">
        <f t="shared" ca="1" si="1"/>
        <v>=VLOOKUP(VLOOKUP(G6,$A$3:$B$10,2,0),$D$3:$E$10,2,0)</v>
      </c>
    </row>
    <row r="7" spans="1:9" x14ac:dyDescent="0.35">
      <c r="A7" t="s">
        <v>96</v>
      </c>
      <c r="B7" t="s">
        <v>105</v>
      </c>
      <c r="D7" t="s">
        <v>104</v>
      </c>
      <c r="E7" s="13">
        <v>32.86</v>
      </c>
      <c r="G7" t="s">
        <v>96</v>
      </c>
      <c r="H7" s="13">
        <f t="shared" si="0"/>
        <v>11.68</v>
      </c>
      <c r="I7" t="str">
        <f t="shared" ca="1" si="1"/>
        <v>=VLOOKUP(VLOOKUP(G7,$A$3:$B$10,2,0),$D$3:$E$10,2,0)</v>
      </c>
    </row>
    <row r="8" spans="1:9" x14ac:dyDescent="0.35">
      <c r="A8" t="s">
        <v>97</v>
      </c>
      <c r="B8" t="s">
        <v>100</v>
      </c>
      <c r="D8" t="s">
        <v>105</v>
      </c>
      <c r="E8" s="13">
        <v>11.68</v>
      </c>
      <c r="G8" t="s">
        <v>97</v>
      </c>
      <c r="H8" s="13">
        <f t="shared" si="0"/>
        <v>46.67</v>
      </c>
      <c r="I8" t="str">
        <f t="shared" ca="1" si="1"/>
        <v>=VLOOKUP(VLOOKUP(G8,$A$3:$B$10,2,0),$D$3:$E$10,2,0)</v>
      </c>
    </row>
    <row r="9" spans="1:9" x14ac:dyDescent="0.35">
      <c r="A9" t="s">
        <v>98</v>
      </c>
      <c r="B9" t="s">
        <v>107</v>
      </c>
      <c r="D9" t="s">
        <v>106</v>
      </c>
      <c r="E9" s="13">
        <v>45.6</v>
      </c>
      <c r="G9" t="s">
        <v>98</v>
      </c>
      <c r="H9" s="13">
        <f t="shared" si="0"/>
        <v>14.45</v>
      </c>
      <c r="I9" t="str">
        <f t="shared" ca="1" si="1"/>
        <v>=VLOOKUP(VLOOKUP(G9,$A$3:$B$10,2,0),$D$3:$E$10,2,0)</v>
      </c>
    </row>
    <row r="10" spans="1:9" x14ac:dyDescent="0.35">
      <c r="A10" t="s">
        <v>99</v>
      </c>
      <c r="B10" t="s">
        <v>102</v>
      </c>
      <c r="D10" t="s">
        <v>107</v>
      </c>
      <c r="E10" s="13">
        <v>14.45</v>
      </c>
      <c r="G10" t="s">
        <v>99</v>
      </c>
      <c r="H10" s="13">
        <f t="shared" si="0"/>
        <v>19.47</v>
      </c>
      <c r="I10" t="str">
        <f t="shared" ca="1" si="1"/>
        <v>=VLOOKUP(VLOOKUP(G10,$A$3:$B$10,2,0),$D$3:$E$10,2,0)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313C-1FC6-4C9E-A659-881752EAE84A}">
  <dimension ref="B2:K31"/>
  <sheetViews>
    <sheetView tabSelected="1" zoomScale="115" zoomScaleNormal="115" workbookViewId="0">
      <selection activeCell="J4" sqref="J4"/>
    </sheetView>
  </sheetViews>
  <sheetFormatPr defaultRowHeight="15.5" x14ac:dyDescent="0.35"/>
  <cols>
    <col min="1" max="1" width="4.5" customWidth="1"/>
    <col min="4" max="4" width="14.25" customWidth="1"/>
    <col min="5" max="5" width="11.75" customWidth="1"/>
    <col min="6" max="6" width="17.5" customWidth="1"/>
    <col min="7" max="8" width="4" customWidth="1"/>
    <col min="10" max="10" width="9.83203125" customWidth="1"/>
  </cols>
  <sheetData>
    <row r="2" spans="2:11" x14ac:dyDescent="0.35">
      <c r="B2" s="6" t="s">
        <v>88</v>
      </c>
      <c r="C2" s="6" t="s">
        <v>13</v>
      </c>
      <c r="D2" s="6" t="s">
        <v>74</v>
      </c>
      <c r="E2" s="6" t="s">
        <v>11</v>
      </c>
      <c r="F2" s="6" t="s">
        <v>75</v>
      </c>
      <c r="I2" s="12" t="s">
        <v>11</v>
      </c>
      <c r="J2" s="15" t="s">
        <v>28</v>
      </c>
    </row>
    <row r="3" spans="2:11" x14ac:dyDescent="0.35">
      <c r="B3" s="10">
        <v>4500</v>
      </c>
      <c r="C3" t="s">
        <v>43</v>
      </c>
      <c r="D3" s="9" t="s">
        <v>76</v>
      </c>
      <c r="E3" t="s">
        <v>15</v>
      </c>
      <c r="F3" s="9" t="s">
        <v>77</v>
      </c>
      <c r="I3" s="12" t="s">
        <v>74</v>
      </c>
      <c r="J3" s="15" t="str">
        <f>VLOOKUP($J$2,CHOOSE({1,2,3},$E$3:$E$30,$D$3:$D$30,$B$3:$B$30),ROW(A2),0)</f>
        <v>Inventory</v>
      </c>
      <c r="K3" t="str">
        <f ca="1">_xlfn.FORMULATEXT(J3)</f>
        <v>=VLOOKUP($J$2,CHOOSE({1,2,3},$E$3:$E$30,$D$3:$D$30,$B$3:$B$30),ROW(A2),0)</v>
      </c>
    </row>
    <row r="4" spans="2:11" x14ac:dyDescent="0.35">
      <c r="B4" s="10">
        <v>3410</v>
      </c>
      <c r="C4" t="s">
        <v>42</v>
      </c>
      <c r="D4" s="9" t="s">
        <v>78</v>
      </c>
      <c r="E4" t="s">
        <v>16</v>
      </c>
      <c r="F4" s="9" t="s">
        <v>79</v>
      </c>
      <c r="I4" s="12" t="s">
        <v>88</v>
      </c>
      <c r="J4" s="19">
        <f>VLOOKUP($J$2,CHOOSE({1,2,3},$E$3:$E$30,$D$3:$D$30,$B$3:$B$30),ROW(A3),0)</f>
        <v>1120</v>
      </c>
      <c r="K4" t="str">
        <f ca="1">_xlfn.FORMULATEXT(J4)</f>
        <v>=VLOOKUP($J$2,CHOOSE({1,2,3},$E$3:$E$30,$D$3:$D$30,$B$3:$B$30),ROW(A3),0)</v>
      </c>
    </row>
    <row r="5" spans="2:11" x14ac:dyDescent="0.35">
      <c r="B5" s="10">
        <v>2270</v>
      </c>
      <c r="C5" t="s">
        <v>42</v>
      </c>
      <c r="D5" s="9" t="s">
        <v>80</v>
      </c>
      <c r="E5" t="s">
        <v>17</v>
      </c>
      <c r="F5" s="9" t="s">
        <v>81</v>
      </c>
    </row>
    <row r="6" spans="2:11" x14ac:dyDescent="0.35">
      <c r="B6" s="10">
        <v>1250</v>
      </c>
      <c r="C6" t="s">
        <v>43</v>
      </c>
      <c r="D6" s="9" t="s">
        <v>80</v>
      </c>
      <c r="E6" t="s">
        <v>18</v>
      </c>
      <c r="F6" s="9" t="s">
        <v>82</v>
      </c>
    </row>
    <row r="7" spans="2:11" x14ac:dyDescent="0.35">
      <c r="B7" s="10">
        <v>3650</v>
      </c>
      <c r="C7" t="s">
        <v>43</v>
      </c>
      <c r="D7" s="9" t="s">
        <v>78</v>
      </c>
      <c r="E7" t="s">
        <v>19</v>
      </c>
      <c r="F7" s="9" t="s">
        <v>79</v>
      </c>
    </row>
    <row r="8" spans="2:11" x14ac:dyDescent="0.35">
      <c r="B8" s="10">
        <v>2240</v>
      </c>
      <c r="C8" t="s">
        <v>43</v>
      </c>
      <c r="D8" s="9" t="s">
        <v>83</v>
      </c>
      <c r="E8" t="s">
        <v>20</v>
      </c>
      <c r="F8" s="9" t="s">
        <v>81</v>
      </c>
    </row>
    <row r="9" spans="2:11" x14ac:dyDescent="0.35">
      <c r="B9" s="10">
        <v>1940</v>
      </c>
      <c r="C9" t="s">
        <v>42</v>
      </c>
      <c r="D9" s="9" t="s">
        <v>83</v>
      </c>
      <c r="E9" t="s">
        <v>21</v>
      </c>
      <c r="F9" s="9" t="s">
        <v>82</v>
      </c>
    </row>
    <row r="10" spans="2:11" x14ac:dyDescent="0.35">
      <c r="B10" s="10">
        <v>4200</v>
      </c>
      <c r="C10" t="s">
        <v>42</v>
      </c>
      <c r="D10" s="9" t="s">
        <v>80</v>
      </c>
      <c r="E10" t="s">
        <v>22</v>
      </c>
      <c r="F10" s="9" t="s">
        <v>77</v>
      </c>
    </row>
    <row r="11" spans="2:11" x14ac:dyDescent="0.35">
      <c r="B11" s="10">
        <v>2850</v>
      </c>
      <c r="C11" t="s">
        <v>42</v>
      </c>
      <c r="D11" s="9" t="s">
        <v>84</v>
      </c>
      <c r="E11" t="s">
        <v>73</v>
      </c>
      <c r="F11" s="9" t="s">
        <v>81</v>
      </c>
    </row>
    <row r="12" spans="2:11" x14ac:dyDescent="0.35">
      <c r="B12" s="10">
        <v>2030</v>
      </c>
      <c r="C12" t="s">
        <v>42</v>
      </c>
      <c r="D12" s="9" t="s">
        <v>85</v>
      </c>
      <c r="E12" t="s">
        <v>23</v>
      </c>
      <c r="F12" s="9" t="s">
        <v>81</v>
      </c>
    </row>
    <row r="13" spans="2:11" x14ac:dyDescent="0.35">
      <c r="B13" s="10">
        <v>3490</v>
      </c>
      <c r="C13" t="s">
        <v>43</v>
      </c>
      <c r="D13" s="9" t="s">
        <v>85</v>
      </c>
      <c r="E13" t="s">
        <v>24</v>
      </c>
      <c r="F13" s="9" t="s">
        <v>79</v>
      </c>
    </row>
    <row r="14" spans="2:11" x14ac:dyDescent="0.35">
      <c r="B14" s="10">
        <v>1500</v>
      </c>
      <c r="C14" t="s">
        <v>43</v>
      </c>
      <c r="D14" s="9" t="s">
        <v>78</v>
      </c>
      <c r="E14" t="s">
        <v>25</v>
      </c>
      <c r="F14" s="9" t="s">
        <v>81</v>
      </c>
    </row>
    <row r="15" spans="2:11" x14ac:dyDescent="0.35">
      <c r="B15" s="10">
        <v>2070</v>
      </c>
      <c r="C15" t="s">
        <v>42</v>
      </c>
      <c r="D15" s="9" t="s">
        <v>76</v>
      </c>
      <c r="E15" t="s">
        <v>26</v>
      </c>
      <c r="F15" s="9" t="s">
        <v>81</v>
      </c>
    </row>
    <row r="16" spans="2:11" x14ac:dyDescent="0.35">
      <c r="B16" s="10">
        <v>2580</v>
      </c>
      <c r="C16" t="s">
        <v>42</v>
      </c>
      <c r="D16" s="9" t="s">
        <v>86</v>
      </c>
      <c r="E16" t="s">
        <v>27</v>
      </c>
      <c r="F16" s="9" t="s">
        <v>81</v>
      </c>
    </row>
    <row r="17" spans="2:7" x14ac:dyDescent="0.35">
      <c r="B17" s="10">
        <v>1120</v>
      </c>
      <c r="C17" t="s">
        <v>43</v>
      </c>
      <c r="D17" s="9" t="s">
        <v>78</v>
      </c>
      <c r="E17" t="s">
        <v>28</v>
      </c>
      <c r="F17" s="9" t="s">
        <v>82</v>
      </c>
    </row>
    <row r="18" spans="2:7" x14ac:dyDescent="0.35">
      <c r="B18" s="10">
        <v>4350</v>
      </c>
      <c r="C18" t="s">
        <v>43</v>
      </c>
      <c r="D18" s="9" t="s">
        <v>84</v>
      </c>
      <c r="E18" t="s">
        <v>29</v>
      </c>
      <c r="F18" s="9" t="s">
        <v>77</v>
      </c>
    </row>
    <row r="19" spans="2:7" x14ac:dyDescent="0.35">
      <c r="B19" s="10">
        <v>2080</v>
      </c>
      <c r="C19" t="s">
        <v>43</v>
      </c>
      <c r="D19" s="9" t="s">
        <v>84</v>
      </c>
      <c r="E19" t="s">
        <v>30</v>
      </c>
      <c r="F19" s="9" t="s">
        <v>81</v>
      </c>
    </row>
    <row r="20" spans="2:7" x14ac:dyDescent="0.35">
      <c r="B20" s="10">
        <v>2910</v>
      </c>
      <c r="C20" t="s">
        <v>43</v>
      </c>
      <c r="D20" s="9" t="s">
        <v>76</v>
      </c>
      <c r="E20" t="s">
        <v>31</v>
      </c>
      <c r="F20" s="9" t="s">
        <v>81</v>
      </c>
    </row>
    <row r="21" spans="2:7" x14ac:dyDescent="0.35">
      <c r="B21" s="10">
        <v>4000</v>
      </c>
      <c r="C21" t="s">
        <v>42</v>
      </c>
      <c r="D21" s="9" t="s">
        <v>76</v>
      </c>
      <c r="E21" t="s">
        <v>32</v>
      </c>
      <c r="F21" s="9" t="s">
        <v>77</v>
      </c>
    </row>
    <row r="22" spans="2:7" x14ac:dyDescent="0.35">
      <c r="B22" s="10">
        <v>1840</v>
      </c>
      <c r="C22" t="s">
        <v>43</v>
      </c>
      <c r="D22" s="9" t="s">
        <v>83</v>
      </c>
      <c r="E22" t="s">
        <v>33</v>
      </c>
      <c r="F22" s="9" t="s">
        <v>81</v>
      </c>
    </row>
    <row r="23" spans="2:7" x14ac:dyDescent="0.35">
      <c r="B23" s="10">
        <v>1050</v>
      </c>
      <c r="C23" t="s">
        <v>42</v>
      </c>
      <c r="D23" s="9" t="s">
        <v>85</v>
      </c>
      <c r="E23" t="s">
        <v>34</v>
      </c>
      <c r="F23" s="9" t="s">
        <v>82</v>
      </c>
    </row>
    <row r="24" spans="2:7" x14ac:dyDescent="0.35">
      <c r="B24" s="10">
        <v>4800</v>
      </c>
      <c r="C24" t="s">
        <v>42</v>
      </c>
      <c r="D24" s="9" t="s">
        <v>86</v>
      </c>
      <c r="E24" t="s">
        <v>35</v>
      </c>
      <c r="F24" s="9" t="s">
        <v>77</v>
      </c>
    </row>
    <row r="25" spans="2:7" x14ac:dyDescent="0.35">
      <c r="B25" s="10">
        <v>3940</v>
      </c>
      <c r="C25" t="s">
        <v>42</v>
      </c>
      <c r="D25" s="9" t="s">
        <v>87</v>
      </c>
      <c r="E25" t="s">
        <v>36</v>
      </c>
      <c r="F25" s="9" t="s">
        <v>79</v>
      </c>
    </row>
    <row r="26" spans="2:7" x14ac:dyDescent="0.35">
      <c r="B26" s="10">
        <v>2770</v>
      </c>
      <c r="C26" t="s">
        <v>43</v>
      </c>
      <c r="D26" s="9" t="s">
        <v>78</v>
      </c>
      <c r="E26" t="s">
        <v>37</v>
      </c>
      <c r="F26" s="9" t="s">
        <v>81</v>
      </c>
    </row>
    <row r="27" spans="2:7" x14ac:dyDescent="0.35">
      <c r="B27" s="10">
        <v>1270</v>
      </c>
      <c r="C27" t="s">
        <v>43</v>
      </c>
      <c r="D27" s="9" t="s">
        <v>87</v>
      </c>
      <c r="E27" t="s">
        <v>38</v>
      </c>
      <c r="F27" s="9" t="s">
        <v>82</v>
      </c>
    </row>
    <row r="28" spans="2:7" x14ac:dyDescent="0.35">
      <c r="B28" s="10">
        <v>2250</v>
      </c>
      <c r="C28" t="s">
        <v>42</v>
      </c>
      <c r="D28" s="9" t="s">
        <v>87</v>
      </c>
      <c r="E28" t="s">
        <v>39</v>
      </c>
      <c r="F28" s="9" t="s">
        <v>81</v>
      </c>
      <c r="G28" s="10"/>
    </row>
    <row r="29" spans="2:7" x14ac:dyDescent="0.35">
      <c r="B29" s="10">
        <v>2230</v>
      </c>
      <c r="C29" t="s">
        <v>42</v>
      </c>
      <c r="D29" s="9" t="s">
        <v>86</v>
      </c>
      <c r="E29" t="s">
        <v>40</v>
      </c>
      <c r="F29" s="9" t="s">
        <v>81</v>
      </c>
      <c r="G29" s="10"/>
    </row>
    <row r="30" spans="2:7" x14ac:dyDescent="0.35">
      <c r="B30" s="11">
        <v>2930</v>
      </c>
      <c r="C30" t="s">
        <v>42</v>
      </c>
      <c r="D30" s="11" t="s">
        <v>86</v>
      </c>
      <c r="E30" t="s">
        <v>41</v>
      </c>
      <c r="F30" s="11" t="s">
        <v>81</v>
      </c>
      <c r="G30" s="11"/>
    </row>
    <row r="31" spans="2:7" x14ac:dyDescent="0.35">
      <c r="B31" s="10"/>
      <c r="D31" s="9"/>
      <c r="F31" s="9"/>
      <c r="G31" s="10"/>
    </row>
  </sheetData>
  <conditionalFormatting sqref="B3:F30">
    <cfRule type="expression" dxfId="0" priority="1">
      <formula>$E3=$J$2</formula>
    </cfRule>
  </conditionalFormatting>
  <dataValidations count="1">
    <dataValidation type="list" allowBlank="1" showInputMessage="1" showErrorMessage="1" sqref="J2" xr:uid="{F3D4F485-FD15-4B01-9A1F-EF34F66ED81D}">
      <formula1>$E$3:$E$30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 1</vt:lpstr>
      <vt:lpstr>Vlookup 2</vt:lpstr>
      <vt:lpstr>Vlookup 3</vt:lpstr>
      <vt:lpstr>Vlookup 4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 Chee Chong</dc:creator>
  <cp:lastModifiedBy>Tuan Nor Uzma</cp:lastModifiedBy>
  <dcterms:created xsi:type="dcterms:W3CDTF">2011-10-29T01:35:56Z</dcterms:created>
  <dcterms:modified xsi:type="dcterms:W3CDTF">2025-04-08T03:20:58Z</dcterms:modified>
</cp:coreProperties>
</file>