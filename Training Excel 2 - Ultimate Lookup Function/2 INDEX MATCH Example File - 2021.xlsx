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 defaultThemeVersion="166925"/>
  <xr:revisionPtr revIDLastSave="0" documentId="13_ncr:1_{52C17532-F815-4C61-B8DD-1D680D99F0E2}" xr6:coauthVersionLast="47" xr6:coauthVersionMax="47" xr10:uidLastSave="{00000000-0000-0000-0000-000000000000}"/>
  <bookViews>
    <workbookView xWindow="-110" yWindow="-110" windowWidth="19420" windowHeight="10420" firstSheet="8" activeTab="11" xr2:uid="{06851756-3F76-4DE6-9CD5-E846E0665EF9}"/>
  </bookViews>
  <sheets>
    <sheet name="COLUMN and ROW" sheetId="16" r:id="rId1"/>
    <sheet name="Name Range" sheetId="15" r:id="rId2"/>
    <sheet name="Horizontal Lookup" sheetId="3" r:id="rId3"/>
    <sheet name="Left Lookup" sheetId="4" r:id="rId4"/>
    <sheet name="Two Way Lookup" sheetId="5" r:id="rId5"/>
    <sheet name="Multiple Criteria" sheetId="6" r:id="rId6"/>
    <sheet name="Entire Row" sheetId="7" r:id="rId7"/>
    <sheet name="Approx Lookup (Ascending)" sheetId="17" r:id="rId8"/>
    <sheet name="Approx Lookup (Descending)" sheetId="8" r:id="rId9"/>
    <sheet name="Case Sensitive Lookup" sheetId="11" r:id="rId10"/>
    <sheet name="Wildcard" sheetId="13" r:id="rId11"/>
    <sheet name="Three Way Lookup" sheetId="14" r:id="rId12"/>
  </sheets>
  <definedNames>
    <definedName name="Apr">'Name Range'!$D$3:$D$12</definedName>
    <definedName name="Aug">'Name Range'!$H$3:$H$12</definedName>
    <definedName name="Comp">Wildcard!$A$2:$A$10</definedName>
    <definedName name="Feb">'Name Range'!$B$3:$B$12</definedName>
    <definedName name="Final">'Three Way Lookup'!$B$19:$D$23</definedName>
    <definedName name="g">'Approx Lookup (Descending)'!$C$3:$C$8</definedName>
    <definedName name="Grade">'Approx Lookup (Ascending)'!$C$3:$C$8</definedName>
    <definedName name="HData">'Horizontal Lookup'!$B$1:$K$2</definedName>
    <definedName name="Jan">'Name Range'!$A$3:$A$12</definedName>
    <definedName name="Jul">'Name Range'!$G$3:$G$12</definedName>
    <definedName name="Jun">'Name Range'!$F$3:$F$12</definedName>
    <definedName name="M">'Approx Lookup (Ascending)'!$B$3:$B$8</definedName>
    <definedName name="Manager">'Left Lookup'!$C$2:$C$11</definedName>
    <definedName name="Mar">'Name Range'!$C$3:$C$12</definedName>
    <definedName name="Mark">'Entire Row'!$B$2:$D$11</definedName>
    <definedName name="Marks">'Horizontal Lookup'!$B$2:$K$2</definedName>
    <definedName name="May">'Name Range'!$E$3:$E$12</definedName>
    <definedName name="MCap">Wildcard!$B$2:$B$10</definedName>
    <definedName name="Mid">'Three Way Lookup'!$B$11:$D$15</definedName>
    <definedName name="mr">'Approx Lookup (Descending)'!$B$3:$B$8</definedName>
    <definedName name="Name">'Horizontal Lookup'!$B$1:$K$1</definedName>
    <definedName name="Name1">'Two Way Lookup'!$A$2:$A$11</definedName>
    <definedName name="Sales">'Left Lookup'!$B$2:$B$11</definedName>
    <definedName name="Score">'Two Way Lookup'!$B$2:$D$11</definedName>
    <definedName name="Sep">'Name Range'!$I$3:$I$12</definedName>
    <definedName name="Student">'Three Way Lookup'!$A$3:$A$7</definedName>
    <definedName name="Subject">'Three Way Lookup'!$B$2:$D$2</definedName>
    <definedName name="Unit">'Three Way Lookup'!$B$3:$D$7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4" l="1"/>
  <c r="I15" i="14"/>
  <c r="I22" i="14"/>
  <c r="H22" i="14"/>
  <c r="G22" i="14"/>
  <c r="G15" i="14"/>
  <c r="H5" i="14"/>
  <c r="I5" i="14"/>
  <c r="G5" i="14"/>
  <c r="E12" i="13"/>
  <c r="E11" i="13"/>
  <c r="E10" i="13"/>
  <c r="E3" i="13"/>
  <c r="E4" i="13"/>
  <c r="E2" i="13"/>
  <c r="E3" i="11" a="1"/>
  <c r="E3" i="11" s="1"/>
  <c r="G3" i="8"/>
  <c r="G4" i="8"/>
  <c r="G5" i="8"/>
  <c r="G6" i="8"/>
  <c r="G7" i="8"/>
  <c r="G8" i="8"/>
  <c r="G9" i="8"/>
  <c r="G10" i="8"/>
  <c r="G11" i="8"/>
  <c r="G2" i="8"/>
  <c r="G3" i="17"/>
  <c r="G4" i="17"/>
  <c r="G5" i="17"/>
  <c r="G6" i="17"/>
  <c r="G7" i="17"/>
  <c r="G8" i="17"/>
  <c r="G9" i="17"/>
  <c r="G10" i="17"/>
  <c r="G11" i="17"/>
  <c r="G2" i="17"/>
  <c r="H12" i="7"/>
  <c r="G12" i="7"/>
  <c r="G4" i="7"/>
  <c r="G3" i="6" a="1"/>
  <c r="G3" i="6" s="1"/>
  <c r="G3" i="5" a="1"/>
  <c r="G3" i="5" s="1"/>
  <c r="G2" i="4"/>
  <c r="B6" i="3"/>
  <c r="AH4" i="16"/>
  <c r="AI4" i="16"/>
  <c r="AJ4" i="16"/>
  <c r="AG4" i="16"/>
  <c r="AJ2" i="16"/>
  <c r="AH2" i="16"/>
  <c r="AI2" i="16"/>
  <c r="AG2" i="16"/>
  <c r="AB3" i="16"/>
  <c r="AB4" i="16"/>
  <c r="AB5" i="16"/>
  <c r="AB6" i="16"/>
  <c r="AB7" i="16"/>
  <c r="AB8" i="16"/>
  <c r="AB9" i="16"/>
  <c r="AB10" i="16"/>
  <c r="AB11" i="16"/>
  <c r="AB2" i="16"/>
  <c r="U3" i="16"/>
  <c r="U4" i="16"/>
  <c r="U5" i="16"/>
  <c r="U6" i="16"/>
  <c r="U7" i="16"/>
  <c r="U8" i="16"/>
  <c r="U9" i="16"/>
  <c r="X3" i="16"/>
  <c r="X4" i="16"/>
  <c r="X5" i="16"/>
  <c r="X6" i="16"/>
  <c r="X7" i="16"/>
  <c r="X8" i="16"/>
  <c r="X9" i="16"/>
  <c r="X10" i="16"/>
  <c r="X11" i="16"/>
  <c r="X2" i="16"/>
  <c r="U2" i="16"/>
  <c r="Q3" i="16"/>
  <c r="Q4" i="16"/>
  <c r="Q5" i="16"/>
  <c r="Q6" i="16"/>
  <c r="Q7" i="16"/>
  <c r="Q8" i="16"/>
  <c r="Q9" i="16"/>
  <c r="Q10" i="16"/>
  <c r="Q11" i="16"/>
  <c r="Q2" i="16"/>
  <c r="M2" i="16"/>
  <c r="M3" i="16"/>
  <c r="M4" i="16"/>
  <c r="M5" i="16"/>
  <c r="M6" i="16"/>
  <c r="M7" i="16"/>
  <c r="M8" i="16"/>
  <c r="M9" i="16"/>
  <c r="M10" i="16"/>
  <c r="M11" i="16"/>
  <c r="I2" i="16"/>
  <c r="I3" i="16"/>
  <c r="I4" i="16"/>
  <c r="I5" i="16"/>
  <c r="I6" i="16"/>
  <c r="I7" i="16"/>
  <c r="I8" i="16"/>
  <c r="I9" i="16"/>
  <c r="I10" i="16"/>
  <c r="I11" i="16"/>
  <c r="E2" i="16"/>
  <c r="E3" i="16"/>
  <c r="E4" i="16"/>
  <c r="E5" i="16"/>
  <c r="E6" i="16"/>
  <c r="E7" i="16"/>
  <c r="E8" i="16"/>
  <c r="E9" i="16"/>
  <c r="E10" i="16"/>
  <c r="E11" i="16"/>
  <c r="B3" i="16"/>
  <c r="B4" i="16"/>
  <c r="B5" i="16"/>
  <c r="B6" i="16"/>
  <c r="B7" i="16"/>
  <c r="B2" i="16"/>
  <c r="F9" i="14"/>
  <c r="F10" i="13"/>
  <c r="F2" i="13"/>
  <c r="E6" i="11"/>
  <c r="H3" i="8"/>
  <c r="H11" i="8"/>
  <c r="H9" i="8"/>
  <c r="H4" i="8"/>
  <c r="H5" i="8"/>
  <c r="H10" i="8"/>
  <c r="H6" i="8"/>
  <c r="H7" i="8"/>
  <c r="H8" i="8"/>
  <c r="H2" i="8"/>
  <c r="H3" i="17"/>
  <c r="H11" i="17"/>
  <c r="H4" i="17"/>
  <c r="H8" i="17"/>
  <c r="H5" i="17"/>
  <c r="H6" i="17"/>
  <c r="H7" i="17"/>
  <c r="H9" i="17"/>
  <c r="H10" i="17"/>
  <c r="H2" i="17"/>
  <c r="I11" i="7"/>
  <c r="I4" i="7"/>
  <c r="G7" i="5"/>
  <c r="L8" i="15"/>
  <c r="L9" i="15"/>
  <c r="L10" i="15"/>
  <c r="M3" i="15"/>
  <c r="B7" i="3"/>
  <c r="M6" i="15"/>
  <c r="L6" i="15"/>
  <c r="Y5" i="16"/>
  <c r="V4" i="16"/>
  <c r="R3" i="16"/>
  <c r="R5" i="16"/>
  <c r="N7" i="16"/>
  <c r="J8" i="16"/>
  <c r="F4" i="16"/>
  <c r="C3" i="16"/>
  <c r="M4" i="15"/>
  <c r="L5" i="15"/>
  <c r="Y3" i="16"/>
  <c r="R11" i="16"/>
  <c r="R2" i="16"/>
  <c r="J9" i="16"/>
  <c r="F7" i="16"/>
  <c r="C4" i="16"/>
  <c r="M7" i="15"/>
  <c r="Y6" i="16"/>
  <c r="V6" i="16"/>
  <c r="R6" i="16"/>
  <c r="N6" i="16"/>
  <c r="J10" i="16"/>
  <c r="F8" i="16"/>
  <c r="C7" i="16"/>
  <c r="Y8" i="16"/>
  <c r="V9" i="16"/>
  <c r="N10" i="16"/>
  <c r="F5" i="16"/>
  <c r="L7" i="15"/>
  <c r="V3" i="16"/>
  <c r="F3" i="16"/>
  <c r="Y11" i="16"/>
  <c r="R10" i="16"/>
  <c r="J7" i="16"/>
  <c r="M9" i="15"/>
  <c r="V5" i="16"/>
  <c r="N3" i="16"/>
  <c r="M10" i="15"/>
  <c r="L2" i="15"/>
  <c r="N5" i="16"/>
  <c r="C5" i="16"/>
  <c r="AC2" i="16"/>
  <c r="R9" i="16"/>
  <c r="J5" i="16"/>
  <c r="C2" i="16"/>
  <c r="V2" i="16"/>
  <c r="Y9" i="16"/>
  <c r="R4" i="16"/>
  <c r="N11" i="16"/>
  <c r="F6" i="16"/>
  <c r="Y4" i="16"/>
  <c r="Y2" i="16"/>
  <c r="N4" i="16"/>
  <c r="F2" i="16"/>
  <c r="M8" i="15"/>
  <c r="M5" i="15"/>
  <c r="AG3" i="16"/>
  <c r="Y10" i="16"/>
  <c r="V7" i="16"/>
  <c r="R7" i="16"/>
  <c r="N8" i="16"/>
  <c r="N2" i="16"/>
  <c r="J3" i="16"/>
  <c r="F9" i="16"/>
  <c r="C6" i="16"/>
  <c r="M2" i="15"/>
  <c r="AG1" i="16"/>
  <c r="Y7" i="16"/>
  <c r="V8" i="16"/>
  <c r="R8" i="16"/>
  <c r="N9" i="16"/>
  <c r="J4" i="16"/>
  <c r="J11" i="16"/>
  <c r="F10" i="16"/>
  <c r="L3" i="15"/>
  <c r="J2" i="16"/>
  <c r="J6" i="16"/>
  <c r="L4" i="15"/>
  <c r="F11" i="16"/>
  <c r="H3" i="5" l="1" a="1"/>
  <c r="H3" i="5" s="1"/>
  <c r="I3" i="5" a="1"/>
  <c r="I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<sst xmlns="http://schemas.openxmlformats.org/spreadsheetml/2006/main" count="274" uniqueCount="97">
  <si>
    <t>John</t>
  </si>
  <si>
    <t>Kane</t>
  </si>
  <si>
    <t>Mark</t>
  </si>
  <si>
    <t>Jim</t>
  </si>
  <si>
    <t>Michael</t>
  </si>
  <si>
    <t>Hannah</t>
  </si>
  <si>
    <t>Jenny</t>
  </si>
  <si>
    <t>Alan</t>
  </si>
  <si>
    <t>Angela</t>
  </si>
  <si>
    <t>Chris</t>
  </si>
  <si>
    <t>Name</t>
  </si>
  <si>
    <t>Marks</t>
  </si>
  <si>
    <t>Store</t>
  </si>
  <si>
    <t>Sales</t>
  </si>
  <si>
    <t>Manager</t>
  </si>
  <si>
    <t>Math</t>
  </si>
  <si>
    <t>Physics</t>
  </si>
  <si>
    <t>Chemistry</t>
  </si>
  <si>
    <t>First Name</t>
  </si>
  <si>
    <t>Last Name</t>
  </si>
  <si>
    <t>Haynes</t>
  </si>
  <si>
    <t>Frost</t>
  </si>
  <si>
    <t>Long</t>
  </si>
  <si>
    <t>Hansen</t>
  </si>
  <si>
    <t>Rubio</t>
  </si>
  <si>
    <t>Bass</t>
  </si>
  <si>
    <t>Becker</t>
  </si>
  <si>
    <t>Lockard</t>
  </si>
  <si>
    <t>Lott</t>
  </si>
  <si>
    <t>Whit</t>
  </si>
  <si>
    <t>Score</t>
  </si>
  <si>
    <t>Total</t>
  </si>
  <si>
    <t>Grade</t>
  </si>
  <si>
    <t>Marks Range</t>
  </si>
  <si>
    <t>A</t>
  </si>
  <si>
    <t>B</t>
  </si>
  <si>
    <t>C</t>
  </si>
  <si>
    <t>D</t>
  </si>
  <si>
    <t>E</t>
  </si>
  <si>
    <t>F</t>
  </si>
  <si>
    <t>jim</t>
  </si>
  <si>
    <t>Apple</t>
  </si>
  <si>
    <t>Microsoft</t>
  </si>
  <si>
    <t>Alibaba</t>
  </si>
  <si>
    <t>Mkt Cap</t>
  </si>
  <si>
    <t>Apple Inc.</t>
  </si>
  <si>
    <t>Amazon.com, Inc.</t>
  </si>
  <si>
    <t>Alphabet Alphabet Inc.</t>
  </si>
  <si>
    <t>Microsoft Corporation</t>
  </si>
  <si>
    <t>Facebook Inc.</t>
  </si>
  <si>
    <t>Alibaba Group Holding Limited</t>
  </si>
  <si>
    <t>Berkshire Hathaway Inc</t>
  </si>
  <si>
    <t>J.P. Morgan Chase &amp; Co.</t>
  </si>
  <si>
    <t>Unit Test</t>
  </si>
  <si>
    <t>Mid Term</t>
  </si>
  <si>
    <t>Final</t>
  </si>
  <si>
    <t>Jan</t>
  </si>
  <si>
    <t>Feb</t>
  </si>
  <si>
    <t>Mar</t>
  </si>
  <si>
    <t>Apr</t>
  </si>
  <si>
    <t>May</t>
  </si>
  <si>
    <t>Jun</t>
  </si>
  <si>
    <t>Month</t>
  </si>
  <si>
    <t>Total 3 Subjects base on Name</t>
  </si>
  <si>
    <t>Tencent Holdings Alibaba Limited</t>
  </si>
  <si>
    <t>Name Range Rules</t>
  </si>
  <si>
    <t>1) Name cannot contain any spaces</t>
  </si>
  <si>
    <t>ex: ABCDEF</t>
  </si>
  <si>
    <t>2) Name cannot contain any symbols except _.\?</t>
  </si>
  <si>
    <t>3) A to Z single letter OK, except C and R (because C is Column and R is Row)</t>
  </si>
  <si>
    <t>4) 1st letter cannot be number</t>
  </si>
  <si>
    <t>5) Total Letters = 255</t>
  </si>
  <si>
    <r>
      <t>6) Cell Reference Address cannot use (</t>
    </r>
    <r>
      <rPr>
        <sz val="11"/>
        <color rgb="FFFF0000"/>
        <rFont val="Calibri"/>
        <family val="2"/>
        <scheme val="minor"/>
      </rPr>
      <t>ex: A1,B2,C3,D100</t>
    </r>
    <r>
      <rPr>
        <sz val="11"/>
        <color theme="1"/>
        <rFont val="Calibri"/>
        <family val="2"/>
        <scheme val="minor"/>
      </rPr>
      <t>)</t>
    </r>
  </si>
  <si>
    <t>ex:ABCD1 - YES</t>
  </si>
  <si>
    <t>ex: 1ABCD - NO</t>
  </si>
  <si>
    <t>Create a New Name Range</t>
  </si>
  <si>
    <t>1) Name Manager</t>
  </si>
  <si>
    <t>Formulas &gt; Defined Names &gt; Name Manager</t>
  </si>
  <si>
    <t>Ctrl +F3</t>
  </si>
  <si>
    <t>2) Name Box</t>
  </si>
  <si>
    <t>3) Create From Selection</t>
  </si>
  <si>
    <t>Formulas &gt; Defined Names &gt; Create from SELECTION</t>
  </si>
  <si>
    <t>Ctrl + Shift + F3</t>
  </si>
  <si>
    <t>Go to the table , Ctrl + A (to select all)</t>
  </si>
  <si>
    <t xml:space="preserve">Use Sum formula and Indirect function </t>
  </si>
  <si>
    <t>Jul</t>
  </si>
  <si>
    <t>Aug</t>
  </si>
  <si>
    <t>Sep</t>
  </si>
  <si>
    <t>0 at the back is meaning Whole row return to the function</t>
  </si>
  <si>
    <t>Max</t>
  </si>
  <si>
    <t>Min</t>
  </si>
  <si>
    <t>Array = Multiple Cell Checking</t>
  </si>
  <si>
    <t>Old version 2019 Excel -&gt; Ctrl + Shift + Enter</t>
  </si>
  <si>
    <t>Chase</t>
  </si>
  <si>
    <t>#This Alibaba will showing the first upper row</t>
  </si>
  <si>
    <t>#To checking what if we put the Name in the centre likes "Chase" NOT put "J.P." first, can put "*" at first and last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</si>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</sst>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Continuous"/>
    </xf>
    <xf numFmtId="0" fontId="0" fillId="4" borderId="0" xfId="0" applyFill="1"/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/>
    <xf numFmtId="0" fontId="4" fillId="0" borderId="0" xfId="0" applyFont="1"/>
    <xf numFmtId="0" fontId="0" fillId="5" borderId="0" xfId="0" applyFill="1"/>
    <xf numFmtId="0" fontId="0" fillId="0" borderId="0" xfId="0" applyFill="1"/>
    <xf numFmtId="0" fontId="0" fillId="3" borderId="0" xfId="0" applyFill="1"/>
    <xf numFmtId="0" fontId="2" fillId="6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/>
    <xf numFmtId="0" fontId="0" fillId="0" borderId="2" xfId="0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D94C-5F1C-4472-B50A-1D84A88DCB42}">
  <dimension ref="B1:AJ11"/>
  <sheetViews>
    <sheetView workbookViewId="0">
      <selection activeCell="AF13" sqref="AF13"/>
    </sheetView>
  </sheetViews>
  <sheetFormatPr defaultRowHeight="14.5" x14ac:dyDescent="0.35"/>
  <sheetData>
    <row r="1" spans="2:36" x14ac:dyDescent="0.35">
      <c r="AG1" t="str">
        <f ca="1">_xlfn.FORMULATEXT(AG2)</f>
        <v>=COLUMN(A1)</v>
      </c>
    </row>
    <row r="2" spans="2:36" x14ac:dyDescent="0.35">
      <c r="B2" t="str">
        <f>ROW(A1)&amp;")"</f>
        <v>1)</v>
      </c>
      <c r="C2" t="str">
        <f ca="1">_xlfn.FORMULATEXT(B2)</f>
        <v>=ROW(A1)&amp;")"</v>
      </c>
      <c r="E2" t="str">
        <f>"("&amp;ROW(A1)&amp;0&amp;")"</f>
        <v>(10)</v>
      </c>
      <c r="F2" t="str">
        <f ca="1">_xlfn.FORMULATEXT(E2)</f>
        <v>="("&amp;ROW(A1)&amp;0&amp;")"</v>
      </c>
      <c r="I2" t="str">
        <f>ROW(A1)*2-1&amp;"."</f>
        <v>1.</v>
      </c>
      <c r="J2" t="str">
        <f ca="1">_xlfn.FORMULATEXT(I2)</f>
        <v>=ROW(A1)*2-1&amp;"."</v>
      </c>
      <c r="M2" t="str">
        <f>CHAR(ROW(A65))&amp;")"</f>
        <v>A)</v>
      </c>
      <c r="N2" t="str">
        <f ca="1">_xlfn.FORMULATEXT(M2)</f>
        <v>=CHAR(ROW(A65))&amp;")"</v>
      </c>
      <c r="Q2" t="str">
        <f>CHAR(ROW(A97))&amp;"."</f>
        <v>a.</v>
      </c>
      <c r="R2" t="str">
        <f ca="1">_xlfn.FORMULATEXT(Q2)</f>
        <v>=CHAR(ROW(A97))&amp;"."</v>
      </c>
      <c r="U2" t="str">
        <f>ROMAN(ROW(A1))</f>
        <v>I</v>
      </c>
      <c r="V2" t="str">
        <f ca="1">_xlfn.FORMULATEXT(U2)</f>
        <v>=ROMAN(ROW(A1))</v>
      </c>
      <c r="X2" t="str">
        <f>ROMAN(ROW(A10))</f>
        <v>X</v>
      </c>
      <c r="Y2" t="str">
        <f ca="1">_xlfn.FORMULATEXT(X2)</f>
        <v>=ROMAN(ROW(A10))</v>
      </c>
      <c r="AB2" t="str">
        <f>LOWER(ROMAN(ROW(A1)))</f>
        <v>i</v>
      </c>
      <c r="AC2" t="str">
        <f ca="1">_xlfn.FORMULATEXT(AB2)</f>
        <v>=LOWER(ROMAN(ROW(A1)))</v>
      </c>
      <c r="AG2">
        <f>COLUMN(A1)</f>
        <v>1</v>
      </c>
      <c r="AH2">
        <f t="shared" ref="AH2:AI2" si="0">COLUMN(B1)</f>
        <v>2</v>
      </c>
      <c r="AI2">
        <f t="shared" si="0"/>
        <v>3</v>
      </c>
      <c r="AJ2">
        <f>COLUMN(D1)</f>
        <v>4</v>
      </c>
    </row>
    <row r="3" spans="2:36" x14ac:dyDescent="0.35">
      <c r="B3" t="str">
        <f t="shared" ref="B3:B7" si="1">ROW(A2)&amp;")"</f>
        <v>2)</v>
      </c>
      <c r="C3" t="str">
        <f t="shared" ref="C3:C7" ca="1" si="2">_xlfn.FORMULATEXT(B3)</f>
        <v>=ROW(A2)&amp;")"</v>
      </c>
      <c r="E3" t="str">
        <f t="shared" ref="E3:E11" si="3">"("&amp;ROW(A2)&amp;0&amp;")"</f>
        <v>(20)</v>
      </c>
      <c r="F3" t="str">
        <f t="shared" ref="F3:F11" ca="1" si="4">_xlfn.FORMULATEXT(E3)</f>
        <v>="("&amp;ROW(A2)&amp;0&amp;")"</v>
      </c>
      <c r="I3" t="str">
        <f t="shared" ref="I3:I11" si="5">ROW(A2)*2-1&amp;"."</f>
        <v>3.</v>
      </c>
      <c r="J3" t="str">
        <f t="shared" ref="J3:J11" ca="1" si="6">_xlfn.FORMULATEXT(I3)</f>
        <v>=ROW(A2)*2-1&amp;"."</v>
      </c>
      <c r="M3" t="str">
        <f t="shared" ref="M3:M11" si="7">CHAR(ROW(A66))&amp;")"</f>
        <v>B)</v>
      </c>
      <c r="N3" t="str">
        <f t="shared" ref="N3:N11" ca="1" si="8">_xlfn.FORMULATEXT(M3)</f>
        <v>=CHAR(ROW(A66))&amp;")"</v>
      </c>
      <c r="Q3" t="str">
        <f t="shared" ref="Q3:Q11" si="9">CHAR(ROW(A98))&amp;"."</f>
        <v>b.</v>
      </c>
      <c r="R3" t="str">
        <f t="shared" ref="R3:R11" ca="1" si="10">_xlfn.FORMULATEXT(Q3)</f>
        <v>=CHAR(ROW(A98))&amp;"."</v>
      </c>
      <c r="U3" t="str">
        <f t="shared" ref="U3:U9" si="11">ROMAN(ROW(A2))</f>
        <v>II</v>
      </c>
      <c r="V3" t="str">
        <f t="shared" ref="V3:V9" ca="1" si="12">_xlfn.FORMULATEXT(U3)</f>
        <v>=ROMAN(ROW(A2))</v>
      </c>
      <c r="X3" t="str">
        <f t="shared" ref="X3:X11" si="13">ROMAN(ROW(A11))</f>
        <v>XI</v>
      </c>
      <c r="Y3" t="str">
        <f t="shared" ref="Y3:Y11" ca="1" si="14">_xlfn.FORMULATEXT(X3)</f>
        <v>=ROMAN(ROW(A11))</v>
      </c>
      <c r="AB3" t="str">
        <f t="shared" ref="AB3:AB11" si="15">LOWER(ROMAN(ROW(A2)))</f>
        <v>ii</v>
      </c>
      <c r="AG3" t="str">
        <f ca="1">_xlfn.FORMULATEXT(AG4)</f>
        <v>=COLUMN(A1)*2</v>
      </c>
    </row>
    <row r="4" spans="2:36" x14ac:dyDescent="0.35">
      <c r="B4" t="str">
        <f t="shared" si="1"/>
        <v>3)</v>
      </c>
      <c r="C4" t="str">
        <f t="shared" ca="1" si="2"/>
        <v>=ROW(A3)&amp;")"</v>
      </c>
      <c r="E4" t="str">
        <f t="shared" si="3"/>
        <v>(30)</v>
      </c>
      <c r="F4" t="str">
        <f t="shared" ca="1" si="4"/>
        <v>="("&amp;ROW(A3)&amp;0&amp;")"</v>
      </c>
      <c r="I4" t="str">
        <f t="shared" si="5"/>
        <v>5.</v>
      </c>
      <c r="J4" t="str">
        <f t="shared" ca="1" si="6"/>
        <v>=ROW(A3)*2-1&amp;"."</v>
      </c>
      <c r="M4" t="str">
        <f t="shared" si="7"/>
        <v>C)</v>
      </c>
      <c r="N4" t="str">
        <f t="shared" ca="1" si="8"/>
        <v>=CHAR(ROW(A67))&amp;")"</v>
      </c>
      <c r="Q4" t="str">
        <f t="shared" si="9"/>
        <v>c.</v>
      </c>
      <c r="R4" t="str">
        <f t="shared" ca="1" si="10"/>
        <v>=CHAR(ROW(A99))&amp;"."</v>
      </c>
      <c r="U4" t="str">
        <f t="shared" si="11"/>
        <v>III</v>
      </c>
      <c r="V4" t="str">
        <f t="shared" ca="1" si="12"/>
        <v>=ROMAN(ROW(A3))</v>
      </c>
      <c r="X4" t="str">
        <f t="shared" si="13"/>
        <v>XII</v>
      </c>
      <c r="Y4" t="str">
        <f t="shared" ca="1" si="14"/>
        <v>=ROMAN(ROW(A12))</v>
      </c>
      <c r="AB4" t="str">
        <f t="shared" si="15"/>
        <v>iii</v>
      </c>
      <c r="AG4">
        <f>COLUMN(A1)*2</f>
        <v>2</v>
      </c>
      <c r="AH4">
        <f t="shared" ref="AH4:AJ4" si="16">COLUMN(B1)*2</f>
        <v>4</v>
      </c>
      <c r="AI4">
        <f t="shared" si="16"/>
        <v>6</v>
      </c>
      <c r="AJ4">
        <f t="shared" si="16"/>
        <v>8</v>
      </c>
    </row>
    <row r="5" spans="2:36" x14ac:dyDescent="0.35">
      <c r="B5" t="str">
        <f t="shared" si="1"/>
        <v>4)</v>
      </c>
      <c r="C5" t="str">
        <f t="shared" ca="1" si="2"/>
        <v>=ROW(A4)&amp;")"</v>
      </c>
      <c r="E5" t="str">
        <f t="shared" si="3"/>
        <v>(40)</v>
      </c>
      <c r="F5" t="str">
        <f t="shared" ca="1" si="4"/>
        <v>="("&amp;ROW(A4)&amp;0&amp;")"</v>
      </c>
      <c r="I5" t="str">
        <f t="shared" si="5"/>
        <v>7.</v>
      </c>
      <c r="J5" t="str">
        <f t="shared" ca="1" si="6"/>
        <v>=ROW(A4)*2-1&amp;"."</v>
      </c>
      <c r="M5" t="str">
        <f t="shared" si="7"/>
        <v>D)</v>
      </c>
      <c r="N5" t="str">
        <f t="shared" ca="1" si="8"/>
        <v>=CHAR(ROW(A68))&amp;")"</v>
      </c>
      <c r="Q5" t="str">
        <f t="shared" si="9"/>
        <v>d.</v>
      </c>
      <c r="R5" t="str">
        <f t="shared" ca="1" si="10"/>
        <v>=CHAR(ROW(A100))&amp;"."</v>
      </c>
      <c r="U5" t="str">
        <f t="shared" si="11"/>
        <v>IV</v>
      </c>
      <c r="V5" t="str">
        <f t="shared" ca="1" si="12"/>
        <v>=ROMAN(ROW(A4))</v>
      </c>
      <c r="X5" t="str">
        <f t="shared" si="13"/>
        <v>XIII</v>
      </c>
      <c r="Y5" t="str">
        <f t="shared" ca="1" si="14"/>
        <v>=ROMAN(ROW(A13))</v>
      </c>
      <c r="AB5" t="str">
        <f t="shared" si="15"/>
        <v>iv</v>
      </c>
    </row>
    <row r="6" spans="2:36" x14ac:dyDescent="0.35">
      <c r="B6" t="str">
        <f t="shared" si="1"/>
        <v>5)</v>
      </c>
      <c r="C6" t="str">
        <f t="shared" ca="1" si="2"/>
        <v>=ROW(A5)&amp;")"</v>
      </c>
      <c r="E6" t="str">
        <f t="shared" si="3"/>
        <v>(50)</v>
      </c>
      <c r="F6" t="str">
        <f t="shared" ca="1" si="4"/>
        <v>="("&amp;ROW(A5)&amp;0&amp;")"</v>
      </c>
      <c r="I6" t="str">
        <f t="shared" si="5"/>
        <v>9.</v>
      </c>
      <c r="J6" t="str">
        <f t="shared" ca="1" si="6"/>
        <v>=ROW(A5)*2-1&amp;"."</v>
      </c>
      <c r="M6" t="str">
        <f t="shared" si="7"/>
        <v>E)</v>
      </c>
      <c r="N6" t="str">
        <f t="shared" ca="1" si="8"/>
        <v>=CHAR(ROW(A69))&amp;")"</v>
      </c>
      <c r="Q6" t="str">
        <f t="shared" si="9"/>
        <v>e.</v>
      </c>
      <c r="R6" t="str">
        <f t="shared" ca="1" si="10"/>
        <v>=CHAR(ROW(A101))&amp;"."</v>
      </c>
      <c r="U6" t="str">
        <f t="shared" si="11"/>
        <v>V</v>
      </c>
      <c r="V6" t="str">
        <f t="shared" ca="1" si="12"/>
        <v>=ROMAN(ROW(A5))</v>
      </c>
      <c r="X6" t="str">
        <f t="shared" si="13"/>
        <v>XIV</v>
      </c>
      <c r="Y6" t="str">
        <f t="shared" ca="1" si="14"/>
        <v>=ROMAN(ROW(A14))</v>
      </c>
      <c r="AB6" t="str">
        <f t="shared" si="15"/>
        <v>v</v>
      </c>
    </row>
    <row r="7" spans="2:36" x14ac:dyDescent="0.35">
      <c r="B7" t="str">
        <f t="shared" si="1"/>
        <v>6)</v>
      </c>
      <c r="C7" t="str">
        <f t="shared" ca="1" si="2"/>
        <v>=ROW(A6)&amp;")"</v>
      </c>
      <c r="E7" t="str">
        <f t="shared" si="3"/>
        <v>(60)</v>
      </c>
      <c r="F7" t="str">
        <f t="shared" ca="1" si="4"/>
        <v>="("&amp;ROW(A6)&amp;0&amp;")"</v>
      </c>
      <c r="I7" t="str">
        <f t="shared" si="5"/>
        <v>11.</v>
      </c>
      <c r="J7" t="str">
        <f t="shared" ca="1" si="6"/>
        <v>=ROW(A6)*2-1&amp;"."</v>
      </c>
      <c r="M7" t="str">
        <f t="shared" si="7"/>
        <v>F)</v>
      </c>
      <c r="N7" t="str">
        <f t="shared" ca="1" si="8"/>
        <v>=CHAR(ROW(A70))&amp;")"</v>
      </c>
      <c r="Q7" t="str">
        <f t="shared" si="9"/>
        <v>f.</v>
      </c>
      <c r="R7" t="str">
        <f t="shared" ca="1" si="10"/>
        <v>=CHAR(ROW(A102))&amp;"."</v>
      </c>
      <c r="U7" t="str">
        <f t="shared" si="11"/>
        <v>VI</v>
      </c>
      <c r="V7" t="str">
        <f t="shared" ca="1" si="12"/>
        <v>=ROMAN(ROW(A6))</v>
      </c>
      <c r="X7" t="str">
        <f t="shared" si="13"/>
        <v>XV</v>
      </c>
      <c r="Y7" t="str">
        <f t="shared" ca="1" si="14"/>
        <v>=ROMAN(ROW(A15))</v>
      </c>
      <c r="AB7" t="str">
        <f t="shared" si="15"/>
        <v>vi</v>
      </c>
    </row>
    <row r="8" spans="2:36" x14ac:dyDescent="0.35">
      <c r="E8" t="str">
        <f t="shared" si="3"/>
        <v>(70)</v>
      </c>
      <c r="F8" t="str">
        <f t="shared" ca="1" si="4"/>
        <v>="("&amp;ROW(A7)&amp;0&amp;")"</v>
      </c>
      <c r="I8" t="str">
        <f t="shared" si="5"/>
        <v>13.</v>
      </c>
      <c r="J8" t="str">
        <f t="shared" ca="1" si="6"/>
        <v>=ROW(A7)*2-1&amp;"."</v>
      </c>
      <c r="M8" t="str">
        <f t="shared" si="7"/>
        <v>G)</v>
      </c>
      <c r="N8" t="str">
        <f t="shared" ca="1" si="8"/>
        <v>=CHAR(ROW(A71))&amp;")"</v>
      </c>
      <c r="Q8" t="str">
        <f t="shared" si="9"/>
        <v>g.</v>
      </c>
      <c r="R8" t="str">
        <f t="shared" ca="1" si="10"/>
        <v>=CHAR(ROW(A103))&amp;"."</v>
      </c>
      <c r="U8" t="str">
        <f t="shared" si="11"/>
        <v>VII</v>
      </c>
      <c r="V8" t="str">
        <f t="shared" ca="1" si="12"/>
        <v>=ROMAN(ROW(A7))</v>
      </c>
      <c r="X8" t="str">
        <f t="shared" si="13"/>
        <v>XVI</v>
      </c>
      <c r="Y8" t="str">
        <f t="shared" ca="1" si="14"/>
        <v>=ROMAN(ROW(A16))</v>
      </c>
      <c r="AB8" t="str">
        <f t="shared" si="15"/>
        <v>vii</v>
      </c>
    </row>
    <row r="9" spans="2:36" x14ac:dyDescent="0.35">
      <c r="E9" t="str">
        <f t="shared" si="3"/>
        <v>(80)</v>
      </c>
      <c r="F9" t="str">
        <f t="shared" ca="1" si="4"/>
        <v>="("&amp;ROW(A8)&amp;0&amp;")"</v>
      </c>
      <c r="I9" t="str">
        <f t="shared" si="5"/>
        <v>15.</v>
      </c>
      <c r="J9" t="str">
        <f t="shared" ca="1" si="6"/>
        <v>=ROW(A8)*2-1&amp;"."</v>
      </c>
      <c r="M9" t="str">
        <f t="shared" si="7"/>
        <v>H)</v>
      </c>
      <c r="N9" t="str">
        <f t="shared" ca="1" si="8"/>
        <v>=CHAR(ROW(A72))&amp;")"</v>
      </c>
      <c r="Q9" t="str">
        <f t="shared" si="9"/>
        <v>h.</v>
      </c>
      <c r="R9" t="str">
        <f t="shared" ca="1" si="10"/>
        <v>=CHAR(ROW(A104))&amp;"."</v>
      </c>
      <c r="U9" t="str">
        <f t="shared" si="11"/>
        <v>VIII</v>
      </c>
      <c r="V9" t="str">
        <f t="shared" ca="1" si="12"/>
        <v>=ROMAN(ROW(A8))</v>
      </c>
      <c r="X9" t="str">
        <f t="shared" si="13"/>
        <v>XVII</v>
      </c>
      <c r="Y9" t="str">
        <f t="shared" ca="1" si="14"/>
        <v>=ROMAN(ROW(A17))</v>
      </c>
      <c r="AB9" t="str">
        <f t="shared" si="15"/>
        <v>viii</v>
      </c>
    </row>
    <row r="10" spans="2:36" x14ac:dyDescent="0.35">
      <c r="E10" t="str">
        <f t="shared" si="3"/>
        <v>(90)</v>
      </c>
      <c r="F10" t="str">
        <f t="shared" ca="1" si="4"/>
        <v>="("&amp;ROW(A9)&amp;0&amp;")"</v>
      </c>
      <c r="I10" t="str">
        <f t="shared" si="5"/>
        <v>17.</v>
      </c>
      <c r="J10" t="str">
        <f t="shared" ca="1" si="6"/>
        <v>=ROW(A9)*2-1&amp;"."</v>
      </c>
      <c r="M10" t="str">
        <f t="shared" si="7"/>
        <v>I)</v>
      </c>
      <c r="N10" t="str">
        <f t="shared" ca="1" si="8"/>
        <v>=CHAR(ROW(A73))&amp;")"</v>
      </c>
      <c r="Q10" t="str">
        <f t="shared" si="9"/>
        <v>i.</v>
      </c>
      <c r="R10" t="str">
        <f t="shared" ca="1" si="10"/>
        <v>=CHAR(ROW(A105))&amp;"."</v>
      </c>
      <c r="X10" t="str">
        <f t="shared" si="13"/>
        <v>XVIII</v>
      </c>
      <c r="Y10" t="str">
        <f t="shared" ca="1" si="14"/>
        <v>=ROMAN(ROW(A18))</v>
      </c>
      <c r="AB10" t="str">
        <f t="shared" si="15"/>
        <v>ix</v>
      </c>
    </row>
    <row r="11" spans="2:36" x14ac:dyDescent="0.35">
      <c r="E11" t="str">
        <f t="shared" si="3"/>
        <v>(100)</v>
      </c>
      <c r="F11" t="str">
        <f t="shared" ca="1" si="4"/>
        <v>="("&amp;ROW(A10)&amp;0&amp;")"</v>
      </c>
      <c r="I11" t="str">
        <f t="shared" si="5"/>
        <v>19.</v>
      </c>
      <c r="J11" t="str">
        <f t="shared" ca="1" si="6"/>
        <v>=ROW(A10)*2-1&amp;"."</v>
      </c>
      <c r="M11" t="str">
        <f t="shared" si="7"/>
        <v>J)</v>
      </c>
      <c r="N11" t="str">
        <f t="shared" ca="1" si="8"/>
        <v>=CHAR(ROW(A74))&amp;")"</v>
      </c>
      <c r="Q11" t="str">
        <f t="shared" si="9"/>
        <v>j.</v>
      </c>
      <c r="R11" t="str">
        <f t="shared" ca="1" si="10"/>
        <v>=CHAR(ROW(A106))&amp;"."</v>
      </c>
      <c r="X11" t="str">
        <f t="shared" si="13"/>
        <v>XIX</v>
      </c>
      <c r="Y11" t="str">
        <f t="shared" ca="1" si="14"/>
        <v>=ROMAN(ROW(A19))</v>
      </c>
      <c r="AB11" t="str">
        <f t="shared" si="15"/>
        <v>x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F4FD-45F1-4115-9790-F22BA4ADE5DB}">
  <dimension ref="A1:T21"/>
  <sheetViews>
    <sheetView zoomScale="130" zoomScaleNormal="130" workbookViewId="0">
      <selection activeCell="H16" sqref="H16"/>
    </sheetView>
  </sheetViews>
  <sheetFormatPr defaultRowHeight="14.5" x14ac:dyDescent="0.35"/>
  <sheetData>
    <row r="1" spans="1:20" x14ac:dyDescent="0.35">
      <c r="K1" s="23" t="s">
        <v>62</v>
      </c>
      <c r="L1" s="23" t="s">
        <v>31</v>
      </c>
    </row>
    <row r="2" spans="1:20" x14ac:dyDescent="0.35">
      <c r="A2" s="22" t="s">
        <v>56</v>
      </c>
      <c r="B2" s="22" t="s">
        <v>57</v>
      </c>
      <c r="C2" s="22" t="s">
        <v>58</v>
      </c>
      <c r="D2" s="22" t="s">
        <v>59</v>
      </c>
      <c r="E2" s="22" t="s">
        <v>60</v>
      </c>
      <c r="F2" s="22" t="s">
        <v>61</v>
      </c>
      <c r="G2" s="32" t="s">
        <v>85</v>
      </c>
      <c r="H2" s="32" t="s">
        <v>86</v>
      </c>
      <c r="I2" s="32" t="s">
        <v>87</v>
      </c>
      <c r="K2" s="22" t="s">
        <v>56</v>
      </c>
      <c r="L2">
        <f ca="1">SUM(INDIRECT(K2))</f>
        <v>4675</v>
      </c>
      <c r="M2" t="str">
        <f ca="1">_xlfn.FORMULATEXT(L2)</f>
        <v>=SUM(INDIRECT(K2))</v>
      </c>
    </row>
    <row r="3" spans="1:20" x14ac:dyDescent="0.35">
      <c r="A3">
        <v>178</v>
      </c>
      <c r="B3">
        <v>143</v>
      </c>
      <c r="C3">
        <v>565</v>
      </c>
      <c r="D3">
        <v>969</v>
      </c>
      <c r="E3">
        <v>866</v>
      </c>
      <c r="F3">
        <v>329</v>
      </c>
      <c r="G3">
        <v>330</v>
      </c>
      <c r="H3">
        <v>230</v>
      </c>
      <c r="I3">
        <v>145</v>
      </c>
      <c r="K3" s="22" t="s">
        <v>57</v>
      </c>
      <c r="L3">
        <f t="shared" ref="L3:L10" ca="1" si="0">SUM(INDIRECT(K3))</f>
        <v>4136</v>
      </c>
      <c r="M3" t="str">
        <f t="shared" ref="M3:M10" ca="1" si="1">_xlfn.FORMULATEXT(L3)</f>
        <v>=SUM(INDIRECT(K3))</v>
      </c>
    </row>
    <row r="4" spans="1:20" x14ac:dyDescent="0.35">
      <c r="A4">
        <v>711</v>
      </c>
      <c r="B4">
        <v>816</v>
      </c>
      <c r="C4">
        <v>465</v>
      </c>
      <c r="D4">
        <v>332</v>
      </c>
      <c r="E4">
        <v>855</v>
      </c>
      <c r="F4">
        <v>792</v>
      </c>
      <c r="G4">
        <v>456</v>
      </c>
      <c r="H4">
        <v>624</v>
      </c>
      <c r="I4">
        <v>444</v>
      </c>
      <c r="K4" s="22" t="s">
        <v>58</v>
      </c>
      <c r="L4">
        <f t="shared" ca="1" si="0"/>
        <v>5229</v>
      </c>
      <c r="M4" t="str">
        <f t="shared" ca="1" si="1"/>
        <v>=SUM(INDIRECT(K4))</v>
      </c>
    </row>
    <row r="5" spans="1:20" x14ac:dyDescent="0.35">
      <c r="A5">
        <v>606</v>
      </c>
      <c r="B5">
        <v>500</v>
      </c>
      <c r="C5">
        <v>163</v>
      </c>
      <c r="D5">
        <v>756</v>
      </c>
      <c r="E5">
        <v>841</v>
      </c>
      <c r="F5">
        <v>163</v>
      </c>
      <c r="G5">
        <v>232</v>
      </c>
      <c r="H5">
        <v>350</v>
      </c>
      <c r="I5">
        <v>163</v>
      </c>
      <c r="K5" s="22" t="s">
        <v>59</v>
      </c>
      <c r="L5">
        <f t="shared" ca="1" si="0"/>
        <v>5066</v>
      </c>
      <c r="M5" t="str">
        <f t="shared" ca="1" si="1"/>
        <v>=SUM(INDIRECT(K5))</v>
      </c>
    </row>
    <row r="6" spans="1:20" x14ac:dyDescent="0.35">
      <c r="A6">
        <v>180</v>
      </c>
      <c r="B6">
        <v>618</v>
      </c>
      <c r="C6">
        <v>468</v>
      </c>
      <c r="D6">
        <v>395</v>
      </c>
      <c r="E6">
        <v>735</v>
      </c>
      <c r="F6">
        <v>189</v>
      </c>
      <c r="G6">
        <v>189</v>
      </c>
      <c r="H6">
        <v>189</v>
      </c>
      <c r="I6">
        <v>189</v>
      </c>
      <c r="K6" s="22" t="s">
        <v>60</v>
      </c>
      <c r="L6">
        <f t="shared" ca="1" si="0"/>
        <v>6972</v>
      </c>
      <c r="M6" t="str">
        <f t="shared" ca="1" si="1"/>
        <v>=SUM(INDIRECT(K6))</v>
      </c>
    </row>
    <row r="7" spans="1:20" x14ac:dyDescent="0.35">
      <c r="A7">
        <v>134</v>
      </c>
      <c r="B7">
        <v>260</v>
      </c>
      <c r="C7">
        <v>749</v>
      </c>
      <c r="D7">
        <v>155</v>
      </c>
      <c r="E7">
        <v>820</v>
      </c>
      <c r="F7">
        <v>407</v>
      </c>
      <c r="G7">
        <v>407</v>
      </c>
      <c r="H7">
        <v>407</v>
      </c>
      <c r="I7">
        <v>407</v>
      </c>
      <c r="K7" s="22" t="s">
        <v>61</v>
      </c>
      <c r="L7">
        <f t="shared" ca="1" si="0"/>
        <v>4702</v>
      </c>
      <c r="M7" t="str">
        <f t="shared" ca="1" si="1"/>
        <v>=SUM(INDIRECT(K7))</v>
      </c>
    </row>
    <row r="8" spans="1:20" x14ac:dyDescent="0.35">
      <c r="A8">
        <v>540</v>
      </c>
      <c r="B8">
        <v>309</v>
      </c>
      <c r="C8">
        <v>842</v>
      </c>
      <c r="D8">
        <v>489</v>
      </c>
      <c r="E8">
        <v>917</v>
      </c>
      <c r="F8">
        <v>240</v>
      </c>
      <c r="G8">
        <v>240</v>
      </c>
      <c r="H8">
        <v>240</v>
      </c>
      <c r="I8">
        <v>240</v>
      </c>
      <c r="K8" s="32" t="s">
        <v>85</v>
      </c>
      <c r="L8">
        <f t="shared" ca="1" si="0"/>
        <v>4436</v>
      </c>
      <c r="M8" t="str">
        <f t="shared" ca="1" si="1"/>
        <v>=SUM(INDIRECT(K8))</v>
      </c>
    </row>
    <row r="9" spans="1:20" x14ac:dyDescent="0.35">
      <c r="A9">
        <v>788</v>
      </c>
      <c r="B9">
        <v>381</v>
      </c>
      <c r="C9">
        <v>268</v>
      </c>
      <c r="D9">
        <v>946</v>
      </c>
      <c r="E9">
        <v>548</v>
      </c>
      <c r="F9">
        <v>344</v>
      </c>
      <c r="G9">
        <v>344</v>
      </c>
      <c r="H9">
        <v>344</v>
      </c>
      <c r="I9">
        <v>344</v>
      </c>
      <c r="K9" s="32" t="s">
        <v>86</v>
      </c>
      <c r="L9">
        <f t="shared" ca="1" si="0"/>
        <v>4622</v>
      </c>
      <c r="M9" t="str">
        <f t="shared" ca="1" si="1"/>
        <v>=SUM(INDIRECT(K9))</v>
      </c>
    </row>
    <row r="10" spans="1:20" x14ac:dyDescent="0.35">
      <c r="A10">
        <v>321</v>
      </c>
      <c r="B10">
        <v>651</v>
      </c>
      <c r="C10">
        <v>530</v>
      </c>
      <c r="D10">
        <v>333</v>
      </c>
      <c r="E10">
        <v>357</v>
      </c>
      <c r="F10">
        <v>662</v>
      </c>
      <c r="G10">
        <v>662</v>
      </c>
      <c r="H10">
        <v>662</v>
      </c>
      <c r="I10">
        <v>662</v>
      </c>
      <c r="K10" s="32" t="s">
        <v>87</v>
      </c>
      <c r="L10">
        <f t="shared" ca="1" si="0"/>
        <v>4170</v>
      </c>
      <c r="M10" t="str">
        <f t="shared" ca="1" si="1"/>
        <v>=SUM(INDIRECT(K10))</v>
      </c>
    </row>
    <row r="11" spans="1:20" x14ac:dyDescent="0.35">
      <c r="A11">
        <v>731</v>
      </c>
      <c r="B11">
        <v>221</v>
      </c>
      <c r="C11">
        <v>704</v>
      </c>
      <c r="D11">
        <v>285</v>
      </c>
      <c r="E11">
        <v>896</v>
      </c>
      <c r="F11">
        <v>892</v>
      </c>
      <c r="G11">
        <v>892</v>
      </c>
      <c r="H11">
        <v>892</v>
      </c>
      <c r="I11">
        <v>892</v>
      </c>
    </row>
    <row r="12" spans="1:20" x14ac:dyDescent="0.35">
      <c r="A12">
        <v>486</v>
      </c>
      <c r="B12">
        <v>237</v>
      </c>
      <c r="C12">
        <v>475</v>
      </c>
      <c r="D12">
        <v>406</v>
      </c>
      <c r="E12">
        <v>137</v>
      </c>
      <c r="F12">
        <v>684</v>
      </c>
      <c r="G12">
        <v>684</v>
      </c>
      <c r="H12">
        <v>684</v>
      </c>
      <c r="I12">
        <v>684</v>
      </c>
    </row>
    <row r="15" spans="1:20" x14ac:dyDescent="0.35">
      <c r="A15" s="22" t="s">
        <v>65</v>
      </c>
      <c r="B15" s="22"/>
      <c r="J15" s="22" t="s">
        <v>75</v>
      </c>
      <c r="K15" s="22"/>
      <c r="L15" s="22"/>
    </row>
    <row r="16" spans="1:20" x14ac:dyDescent="0.35">
      <c r="A16" t="s">
        <v>66</v>
      </c>
      <c r="E16" s="29" t="s">
        <v>67</v>
      </c>
      <c r="J16" s="30" t="s">
        <v>76</v>
      </c>
      <c r="K16" s="30"/>
      <c r="O16" s="30" t="s">
        <v>79</v>
      </c>
      <c r="P16" s="30"/>
      <c r="Q16" s="31"/>
      <c r="R16" s="30" t="s">
        <v>80</v>
      </c>
      <c r="S16" s="30"/>
      <c r="T16" s="30"/>
    </row>
    <row r="17" spans="1:18" x14ac:dyDescent="0.35">
      <c r="A17" t="s">
        <v>68</v>
      </c>
      <c r="J17" t="s">
        <v>77</v>
      </c>
      <c r="R17" t="s">
        <v>81</v>
      </c>
    </row>
    <row r="18" spans="1:18" x14ac:dyDescent="0.35">
      <c r="A18" t="s">
        <v>69</v>
      </c>
      <c r="J18" t="s">
        <v>78</v>
      </c>
      <c r="R18" t="s">
        <v>83</v>
      </c>
    </row>
    <row r="19" spans="1:18" x14ac:dyDescent="0.35">
      <c r="A19" t="s">
        <v>70</v>
      </c>
      <c r="E19" s="29" t="s">
        <v>74</v>
      </c>
      <c r="G19" t="s">
        <v>73</v>
      </c>
      <c r="R19" t="s">
        <v>82</v>
      </c>
    </row>
    <row r="20" spans="1:18" x14ac:dyDescent="0.35">
      <c r="A20" t="s">
        <v>71</v>
      </c>
      <c r="R20" t="s">
        <v>84</v>
      </c>
    </row>
    <row r="21" spans="1:18" x14ac:dyDescent="0.35">
      <c r="A21" t="s">
        <v>72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4A9A-F572-4C12-AC2C-15C2C7B91C68}">
  <sheetPr codeName="Sheet2"/>
  <dimension ref="A1:K7"/>
  <sheetViews>
    <sheetView showGridLines="0" zoomScale="145" zoomScaleNormal="145" workbookViewId="0">
      <selection activeCell="B5" sqref="B5"/>
    </sheetView>
  </sheetViews>
  <sheetFormatPr defaultRowHeight="14.5" x14ac:dyDescent="0.35"/>
  <cols>
    <col min="1" max="1" width="17.54296875" customWidth="1"/>
    <col min="2" max="2" width="11.26953125" customWidth="1"/>
    <col min="3" max="11" width="8.7265625" customWidth="1"/>
  </cols>
  <sheetData>
    <row r="1" spans="1:11" x14ac:dyDescent="0.35">
      <c r="A1" s="4" t="s">
        <v>10</v>
      </c>
      <c r="B1" s="3" t="s">
        <v>0</v>
      </c>
      <c r="C1" s="3" t="s">
        <v>6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</v>
      </c>
      <c r="I1" s="3" t="s">
        <v>7</v>
      </c>
      <c r="J1" s="3" t="s">
        <v>8</v>
      </c>
      <c r="K1" s="3" t="s">
        <v>9</v>
      </c>
    </row>
    <row r="2" spans="1:11" x14ac:dyDescent="0.35">
      <c r="A2" s="4" t="s">
        <v>11</v>
      </c>
      <c r="B2" s="3">
        <v>93</v>
      </c>
      <c r="C2" s="3">
        <v>88</v>
      </c>
      <c r="D2" s="3">
        <v>47</v>
      </c>
      <c r="E2" s="3">
        <v>65</v>
      </c>
      <c r="F2" s="3">
        <v>41</v>
      </c>
      <c r="G2" s="3">
        <v>47</v>
      </c>
      <c r="H2" s="3">
        <v>32</v>
      </c>
      <c r="I2" s="3">
        <v>57</v>
      </c>
      <c r="J2" s="3">
        <v>89</v>
      </c>
      <c r="K2" s="3">
        <v>25</v>
      </c>
    </row>
    <row r="5" spans="1:11" x14ac:dyDescent="0.35">
      <c r="A5" s="5" t="s">
        <v>10</v>
      </c>
      <c r="B5" t="s">
        <v>5</v>
      </c>
    </row>
    <row r="6" spans="1:11" x14ac:dyDescent="0.35">
      <c r="A6" s="5" t="s">
        <v>11</v>
      </c>
      <c r="B6" s="24">
        <f>HLOOKUP(B5,HData,2,0)</f>
        <v>47</v>
      </c>
    </row>
    <row r="7" spans="1:11" x14ac:dyDescent="0.35">
      <c r="B7" t="str">
        <f ca="1">_xlfn.FORMULATEXT(B6)</f>
        <v>=HLOOKUP(B5,HData,2,0)</v>
      </c>
    </row>
  </sheetData>
  <dataValidations count="1">
    <dataValidation type="list" allowBlank="1" showInputMessage="1" showErrorMessage="1" sqref="B5" xr:uid="{22FCCE21-75E8-4E2E-9BA3-421C36EEEF29}">
      <formula1>Name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8632-8BFD-4408-96F6-1982DA0E7781}">
  <sheetPr codeName="Sheet3"/>
  <dimension ref="A1:G11"/>
  <sheetViews>
    <sheetView showGridLines="0" zoomScale="115" zoomScaleNormal="115" workbookViewId="0">
      <selection activeCell="G3" sqref="G3"/>
    </sheetView>
  </sheetViews>
  <sheetFormatPr defaultRowHeight="14.5" x14ac:dyDescent="0.35"/>
  <cols>
    <col min="1" max="1" width="11.1796875" customWidth="1"/>
    <col min="4" max="4" width="6.54296875" customWidth="1"/>
    <col min="5" max="5" width="13.453125" bestFit="1" customWidth="1"/>
    <col min="7" max="7" width="8.7265625" style="24"/>
  </cols>
  <sheetData>
    <row r="1" spans="1:7" x14ac:dyDescent="0.35">
      <c r="A1" s="4" t="s">
        <v>12</v>
      </c>
      <c r="B1" s="4" t="s">
        <v>13</v>
      </c>
      <c r="C1" s="4" t="s">
        <v>14</v>
      </c>
      <c r="F1" s="4" t="s">
        <v>14</v>
      </c>
      <c r="G1" s="24" t="s">
        <v>8</v>
      </c>
    </row>
    <row r="2" spans="1:7" x14ac:dyDescent="0.35">
      <c r="A2" s="3">
        <v>1</v>
      </c>
      <c r="B2" s="3">
        <v>679</v>
      </c>
      <c r="C2" s="3" t="s">
        <v>0</v>
      </c>
      <c r="F2" s="4" t="s">
        <v>13</v>
      </c>
      <c r="G2" s="24">
        <f>INDEX(Sales,MATCH(G1,Manager,0))</f>
        <v>598</v>
      </c>
    </row>
    <row r="3" spans="1:7" x14ac:dyDescent="0.35">
      <c r="A3" s="3">
        <v>2</v>
      </c>
      <c r="B3" s="3">
        <v>568</v>
      </c>
      <c r="C3" s="3" t="s">
        <v>6</v>
      </c>
    </row>
    <row r="4" spans="1:7" x14ac:dyDescent="0.35">
      <c r="A4" s="3">
        <v>3</v>
      </c>
      <c r="B4" s="3">
        <v>534</v>
      </c>
      <c r="C4" s="3" t="s">
        <v>2</v>
      </c>
    </row>
    <row r="5" spans="1:7" x14ac:dyDescent="0.35">
      <c r="A5" s="3">
        <v>4</v>
      </c>
      <c r="B5" s="3">
        <v>679</v>
      </c>
      <c r="C5" s="3" t="s">
        <v>3</v>
      </c>
    </row>
    <row r="6" spans="1:7" x14ac:dyDescent="0.35">
      <c r="A6" s="3">
        <v>5</v>
      </c>
      <c r="B6" s="3">
        <v>757</v>
      </c>
      <c r="C6" s="3" t="s">
        <v>4</v>
      </c>
    </row>
    <row r="7" spans="1:7" x14ac:dyDescent="0.35">
      <c r="A7" s="3">
        <v>6</v>
      </c>
      <c r="B7" s="3">
        <v>798</v>
      </c>
      <c r="C7" s="3" t="s">
        <v>5</v>
      </c>
    </row>
    <row r="8" spans="1:7" x14ac:dyDescent="0.35">
      <c r="A8" s="3">
        <v>7</v>
      </c>
      <c r="B8" s="3">
        <v>544</v>
      </c>
      <c r="C8" s="3" t="s">
        <v>1</v>
      </c>
    </row>
    <row r="9" spans="1:7" x14ac:dyDescent="0.35">
      <c r="A9" s="3">
        <v>8</v>
      </c>
      <c r="B9" s="3">
        <v>751</v>
      </c>
      <c r="C9" s="3" t="s">
        <v>7</v>
      </c>
    </row>
    <row r="10" spans="1:7" x14ac:dyDescent="0.35">
      <c r="A10" s="3">
        <v>9</v>
      </c>
      <c r="B10" s="3">
        <v>598</v>
      </c>
      <c r="C10" s="3" t="s">
        <v>8</v>
      </c>
    </row>
    <row r="11" spans="1:7" x14ac:dyDescent="0.35">
      <c r="A11" s="3">
        <v>10</v>
      </c>
      <c r="B11" s="3">
        <v>571</v>
      </c>
      <c r="C11" s="6" t="s">
        <v>9</v>
      </c>
    </row>
  </sheetData>
  <dataValidations count="1">
    <dataValidation type="list" allowBlank="1" showInputMessage="1" showErrorMessage="1" sqref="G1" xr:uid="{46DCF4BD-3A98-46D7-A907-3BBB3B2F4E9C}">
      <formula1>Manager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ACAD-E62C-4FAF-B203-58BDB1262284}">
  <sheetPr codeName="Sheet4"/>
  <dimension ref="A1:I11"/>
  <sheetViews>
    <sheetView showGridLines="0" zoomScale="160" zoomScaleNormal="160" workbookViewId="0">
      <selection activeCell="A2" sqref="A2:D11"/>
    </sheetView>
  </sheetViews>
  <sheetFormatPr defaultColWidth="8.81640625" defaultRowHeight="13" x14ac:dyDescent="0.3"/>
  <cols>
    <col min="1" max="1" width="8.81640625" style="8"/>
    <col min="2" max="4" width="9.7265625" style="8" customWidth="1"/>
    <col min="5" max="5" width="7.453125" style="8" customWidth="1"/>
    <col min="6" max="6" width="10.453125" style="9" customWidth="1"/>
    <col min="7" max="7" width="14.81640625" style="8" customWidth="1"/>
    <col min="8" max="8" width="11.81640625" style="8" customWidth="1"/>
    <col min="9" max="9" width="10.7265625" style="8" customWidth="1"/>
    <col min="10" max="16384" width="8.81640625" style="8"/>
  </cols>
  <sheetData>
    <row r="1" spans="1:9" x14ac:dyDescent="0.3">
      <c r="A1" s="7" t="s">
        <v>10</v>
      </c>
      <c r="B1" s="7" t="s">
        <v>15</v>
      </c>
      <c r="C1" s="7" t="s">
        <v>16</v>
      </c>
      <c r="D1" s="7" t="s">
        <v>17</v>
      </c>
    </row>
    <row r="2" spans="1:9" x14ac:dyDescent="0.3">
      <c r="A2" s="10" t="s">
        <v>0</v>
      </c>
      <c r="B2" s="11">
        <v>71</v>
      </c>
      <c r="C2" s="11">
        <v>53</v>
      </c>
      <c r="D2" s="11">
        <v>89</v>
      </c>
      <c r="F2" s="14" t="s">
        <v>10</v>
      </c>
      <c r="G2" s="12" t="s">
        <v>15</v>
      </c>
      <c r="H2" s="12" t="s">
        <v>16</v>
      </c>
      <c r="I2" s="12" t="s">
        <v>17</v>
      </c>
    </row>
    <row r="3" spans="1:9" x14ac:dyDescent="0.3">
      <c r="A3" s="10" t="s">
        <v>6</v>
      </c>
      <c r="B3" s="11">
        <v>88</v>
      </c>
      <c r="C3" s="11">
        <v>45</v>
      </c>
      <c r="D3" s="11">
        <v>55</v>
      </c>
      <c r="F3" s="33" t="s">
        <v>9</v>
      </c>
      <c r="G3" s="11" cm="1">
        <f t="array" ref="G3">INDEX(Score,MATCH($F$3,Name1,0),COLUMN(A1))</f>
        <v>67</v>
      </c>
      <c r="H3" s="11" cm="1">
        <f t="array" ref="H3">INDEX(Score,MATCH($F$3,Name1,0),COLUMN(B1))</f>
        <v>54</v>
      </c>
      <c r="I3" s="11" cm="1">
        <f t="array" ref="I3">INDEX(Score,MATCH($F$3,Name1,0),COLUMN(C1))</f>
        <v>82</v>
      </c>
    </row>
    <row r="4" spans="1:9" x14ac:dyDescent="0.3">
      <c r="A4" s="10" t="s">
        <v>2</v>
      </c>
      <c r="B4" s="11">
        <v>44</v>
      </c>
      <c r="C4" s="11">
        <v>28</v>
      </c>
      <c r="D4" s="11">
        <v>54</v>
      </c>
    </row>
    <row r="5" spans="1:9" x14ac:dyDescent="0.3">
      <c r="A5" s="10" t="s">
        <v>3</v>
      </c>
      <c r="B5" s="11">
        <v>97</v>
      </c>
      <c r="C5" s="11">
        <v>70</v>
      </c>
      <c r="D5" s="11">
        <v>73</v>
      </c>
    </row>
    <row r="6" spans="1:9" x14ac:dyDescent="0.3">
      <c r="A6" s="10" t="s">
        <v>4</v>
      </c>
      <c r="B6" s="11">
        <v>47</v>
      </c>
      <c r="C6" s="11">
        <v>34</v>
      </c>
      <c r="D6" s="11">
        <v>38</v>
      </c>
    </row>
    <row r="7" spans="1:9" x14ac:dyDescent="0.3">
      <c r="A7" s="10" t="s">
        <v>5</v>
      </c>
      <c r="B7" s="11">
        <v>88</v>
      </c>
      <c r="C7" s="11">
        <v>75</v>
      </c>
      <c r="D7" s="11">
        <v>90</v>
      </c>
      <c r="G7" s="8" t="str">
        <f ca="1">_xlfn.FORMULATEXT(G3)</f>
        <v>=INDEX(Score,MATCH($F$3,Name1,0),COLUMN(A1))</v>
      </c>
    </row>
    <row r="8" spans="1:9" x14ac:dyDescent="0.3">
      <c r="A8" s="10" t="s">
        <v>1</v>
      </c>
      <c r="B8" s="11">
        <v>87</v>
      </c>
      <c r="C8" s="11">
        <v>42</v>
      </c>
      <c r="D8" s="11">
        <v>54</v>
      </c>
    </row>
    <row r="9" spans="1:9" x14ac:dyDescent="0.3">
      <c r="A9" s="10" t="s">
        <v>7</v>
      </c>
      <c r="B9" s="11">
        <v>27</v>
      </c>
      <c r="C9" s="11">
        <v>37</v>
      </c>
      <c r="D9" s="11">
        <v>56</v>
      </c>
    </row>
    <row r="10" spans="1:9" x14ac:dyDescent="0.3">
      <c r="A10" s="10" t="s">
        <v>8</v>
      </c>
      <c r="B10" s="11">
        <v>35</v>
      </c>
      <c r="C10" s="11">
        <v>89</v>
      </c>
      <c r="D10" s="11">
        <v>57</v>
      </c>
    </row>
    <row r="11" spans="1:9" x14ac:dyDescent="0.3">
      <c r="A11" s="13" t="s">
        <v>9</v>
      </c>
      <c r="B11" s="11">
        <v>67</v>
      </c>
      <c r="C11" s="11">
        <v>54</v>
      </c>
      <c r="D11" s="11">
        <v>82</v>
      </c>
    </row>
  </sheetData>
  <conditionalFormatting sqref="A1:D11">
    <cfRule type="expression" dxfId="11" priority="1">
      <formula>XFD$2=$F$3</formula>
    </cfRule>
    <cfRule type="expression" dxfId="10" priority="2">
      <formula>XFD$2=$F$3</formula>
    </cfRule>
  </conditionalFormatting>
  <dataValidations count="1">
    <dataValidation type="list" allowBlank="1" showInputMessage="1" showErrorMessage="1" sqref="F3" xr:uid="{1652AFBF-3CFF-40E7-BB65-253CD5FEF61A}">
      <formula1>Name1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64F6-BB9C-4061-A0EA-535F11FCDECE}">
  <sheetPr codeName="Sheet6"/>
  <dimension ref="A1:G11"/>
  <sheetViews>
    <sheetView showGridLines="0" zoomScale="145" zoomScaleNormal="145" workbookViewId="0">
      <selection activeCell="G4" sqref="G4"/>
    </sheetView>
  </sheetViews>
  <sheetFormatPr defaultColWidth="8.81640625" defaultRowHeight="13" x14ac:dyDescent="0.3"/>
  <cols>
    <col min="1" max="2" width="10.26953125" style="8" customWidth="1"/>
    <col min="3" max="3" width="8.81640625" style="8" customWidth="1"/>
    <col min="4" max="4" width="2.54296875" style="8" customWidth="1"/>
    <col min="5" max="6" width="10.26953125" style="8" customWidth="1"/>
    <col min="7" max="16384" width="8.81640625" style="8"/>
  </cols>
  <sheetData>
    <row r="1" spans="1:7" x14ac:dyDescent="0.3">
      <c r="A1" s="7" t="s">
        <v>18</v>
      </c>
      <c r="B1" s="7" t="s">
        <v>19</v>
      </c>
      <c r="C1" s="7" t="s">
        <v>15</v>
      </c>
    </row>
    <row r="2" spans="1:7" x14ac:dyDescent="0.3">
      <c r="A2" s="10" t="s">
        <v>0</v>
      </c>
      <c r="B2" s="10" t="s">
        <v>20</v>
      </c>
      <c r="C2" s="11">
        <v>71</v>
      </c>
      <c r="E2" s="14" t="s">
        <v>18</v>
      </c>
      <c r="F2" s="14" t="s">
        <v>19</v>
      </c>
      <c r="G2" s="14" t="s">
        <v>30</v>
      </c>
    </row>
    <row r="3" spans="1:7" x14ac:dyDescent="0.3">
      <c r="A3" s="10" t="s">
        <v>2</v>
      </c>
      <c r="B3" s="10" t="s">
        <v>21</v>
      </c>
      <c r="C3" s="11">
        <v>88</v>
      </c>
      <c r="E3" s="11" t="s">
        <v>8</v>
      </c>
      <c r="F3" s="11" t="s">
        <v>28</v>
      </c>
      <c r="G3" s="26" cm="1">
        <f t="array" ref="G3">VLOOKUP(E3&amp;F3,CHOOSE({1,2},A2:A11&amp;B2:B11,C2:C11),2,0)</f>
        <v>35</v>
      </c>
    </row>
    <row r="4" spans="1:7" x14ac:dyDescent="0.3">
      <c r="A4" s="10" t="s">
        <v>2</v>
      </c>
      <c r="B4" s="10" t="s">
        <v>22</v>
      </c>
      <c r="C4" s="11">
        <v>44</v>
      </c>
    </row>
    <row r="5" spans="1:7" x14ac:dyDescent="0.3">
      <c r="A5" s="10" t="s">
        <v>3</v>
      </c>
      <c r="B5" s="10" t="s">
        <v>23</v>
      </c>
      <c r="C5" s="11">
        <v>97</v>
      </c>
    </row>
    <row r="6" spans="1:7" x14ac:dyDescent="0.3">
      <c r="A6" s="10" t="s">
        <v>4</v>
      </c>
      <c r="B6" s="10" t="s">
        <v>24</v>
      </c>
      <c r="C6" s="11">
        <v>47</v>
      </c>
    </row>
    <row r="7" spans="1:7" x14ac:dyDescent="0.3">
      <c r="A7" s="10" t="s">
        <v>5</v>
      </c>
      <c r="B7" s="10" t="s">
        <v>25</v>
      </c>
      <c r="C7" s="11">
        <v>88</v>
      </c>
    </row>
    <row r="8" spans="1:7" x14ac:dyDescent="0.3">
      <c r="A8" s="10" t="s">
        <v>1</v>
      </c>
      <c r="B8" s="10" t="s">
        <v>26</v>
      </c>
      <c r="C8" s="11">
        <v>87</v>
      </c>
    </row>
    <row r="9" spans="1:7" x14ac:dyDescent="0.3">
      <c r="A9" s="10" t="s">
        <v>7</v>
      </c>
      <c r="B9" s="10" t="s">
        <v>27</v>
      </c>
      <c r="C9" s="11">
        <v>27</v>
      </c>
    </row>
    <row r="10" spans="1:7" x14ac:dyDescent="0.3">
      <c r="A10" s="10" t="s">
        <v>8</v>
      </c>
      <c r="B10" s="10" t="s">
        <v>28</v>
      </c>
      <c r="C10" s="11">
        <v>35</v>
      </c>
    </row>
    <row r="11" spans="1:7" x14ac:dyDescent="0.3">
      <c r="A11" s="13" t="s">
        <v>9</v>
      </c>
      <c r="B11" s="13" t="s">
        <v>29</v>
      </c>
      <c r="C11" s="11">
        <v>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2429-6451-4011-B484-1E282F8370DC}">
  <sheetPr codeName="Sheet7"/>
  <dimension ref="A1:I12"/>
  <sheetViews>
    <sheetView showGridLines="0" zoomScale="130" zoomScaleNormal="130" workbookViewId="0">
      <selection activeCell="F12" sqref="F12"/>
    </sheetView>
  </sheetViews>
  <sheetFormatPr defaultRowHeight="14.5" x14ac:dyDescent="0.35"/>
  <cols>
    <col min="2" max="4" width="9.7265625" customWidth="1"/>
    <col min="5" max="5" width="6.81640625" customWidth="1"/>
    <col min="6" max="6" width="9.1796875" style="15" customWidth="1"/>
    <col min="7" max="7" width="8.453125" style="15" bestFit="1" customWidth="1"/>
  </cols>
  <sheetData>
    <row r="1" spans="1:9" x14ac:dyDescent="0.35">
      <c r="A1" s="7" t="s">
        <v>10</v>
      </c>
      <c r="B1" s="7" t="s">
        <v>15</v>
      </c>
      <c r="C1" s="7" t="s">
        <v>16</v>
      </c>
      <c r="D1" s="7" t="s">
        <v>17</v>
      </c>
      <c r="F1" s="24" t="s">
        <v>63</v>
      </c>
    </row>
    <row r="2" spans="1:9" x14ac:dyDescent="0.35">
      <c r="A2" s="10" t="s">
        <v>0</v>
      </c>
      <c r="B2" s="11">
        <v>71</v>
      </c>
      <c r="C2" s="11">
        <v>53</v>
      </c>
      <c r="D2" s="11">
        <v>89</v>
      </c>
    </row>
    <row r="3" spans="1:9" x14ac:dyDescent="0.35">
      <c r="A3" s="10" t="s">
        <v>6</v>
      </c>
      <c r="B3" s="11">
        <v>88</v>
      </c>
      <c r="C3" s="11">
        <v>45</v>
      </c>
      <c r="D3" s="11">
        <v>55</v>
      </c>
      <c r="F3" s="16" t="s">
        <v>10</v>
      </c>
      <c r="G3" s="16" t="s">
        <v>31</v>
      </c>
    </row>
    <row r="4" spans="1:9" x14ac:dyDescent="0.35">
      <c r="A4" s="10" t="s">
        <v>2</v>
      </c>
      <c r="B4" s="11">
        <v>44</v>
      </c>
      <c r="C4" s="11">
        <v>28</v>
      </c>
      <c r="D4" s="11">
        <v>54</v>
      </c>
      <c r="F4" s="7" t="s">
        <v>8</v>
      </c>
      <c r="G4" s="25">
        <f>SUM(INDEX(Mark,MATCH(F4,A2:A11,0),0))</f>
        <v>181</v>
      </c>
      <c r="I4" t="str">
        <f ca="1">_xlfn.FORMULATEXT(G4)</f>
        <v>=SUM(INDEX(Mark,MATCH(F4,A2:A11,0),0))</v>
      </c>
    </row>
    <row r="5" spans="1:9" x14ac:dyDescent="0.35">
      <c r="A5" s="10" t="s">
        <v>3</v>
      </c>
      <c r="B5" s="11">
        <v>97</v>
      </c>
      <c r="C5" s="11">
        <v>70</v>
      </c>
      <c r="D5" s="11">
        <v>73</v>
      </c>
    </row>
    <row r="6" spans="1:9" x14ac:dyDescent="0.35">
      <c r="A6" s="10" t="s">
        <v>4</v>
      </c>
      <c r="B6" s="11">
        <v>47</v>
      </c>
      <c r="C6" s="11">
        <v>34</v>
      </c>
      <c r="D6" s="11">
        <v>38</v>
      </c>
      <c r="G6" s="24"/>
    </row>
    <row r="7" spans="1:9" x14ac:dyDescent="0.35">
      <c r="A7" s="10" t="s">
        <v>5</v>
      </c>
      <c r="B7" s="11">
        <v>88</v>
      </c>
      <c r="C7" s="11">
        <v>75</v>
      </c>
      <c r="D7" s="11">
        <v>90</v>
      </c>
      <c r="G7" s="27"/>
      <c r="I7" t="s">
        <v>88</v>
      </c>
    </row>
    <row r="8" spans="1:9" x14ac:dyDescent="0.35">
      <c r="A8" s="10" t="s">
        <v>1</v>
      </c>
      <c r="B8" s="11">
        <v>87</v>
      </c>
      <c r="C8" s="11">
        <v>42</v>
      </c>
      <c r="D8" s="11">
        <v>54</v>
      </c>
      <c r="G8" s="24"/>
    </row>
    <row r="9" spans="1:9" x14ac:dyDescent="0.35">
      <c r="A9" s="10" t="s">
        <v>7</v>
      </c>
      <c r="B9" s="11">
        <v>27</v>
      </c>
      <c r="C9" s="11">
        <v>37</v>
      </c>
      <c r="D9" s="11">
        <v>56</v>
      </c>
    </row>
    <row r="10" spans="1:9" x14ac:dyDescent="0.35">
      <c r="A10" s="10" t="s">
        <v>8</v>
      </c>
      <c r="B10" s="11">
        <v>35</v>
      </c>
      <c r="C10" s="11">
        <v>89</v>
      </c>
      <c r="D10" s="11">
        <v>57</v>
      </c>
    </row>
    <row r="11" spans="1:9" x14ac:dyDescent="0.35">
      <c r="A11" s="13" t="s">
        <v>9</v>
      </c>
      <c r="B11" s="11">
        <v>67</v>
      </c>
      <c r="C11" s="11">
        <v>54</v>
      </c>
      <c r="D11" s="11">
        <v>82</v>
      </c>
      <c r="F11" s="35"/>
      <c r="G11" s="35" t="s">
        <v>89</v>
      </c>
      <c r="H11" s="34" t="s">
        <v>90</v>
      </c>
      <c r="I11" t="str">
        <f ca="1">_xlfn.FORMULATEXT(G12)</f>
        <v>=MAX(INDEX(Mark,0,MATCH(F12,B1:D1,0)))</v>
      </c>
    </row>
    <row r="12" spans="1:9" x14ac:dyDescent="0.35">
      <c r="F12" s="36" t="s">
        <v>16</v>
      </c>
      <c r="G12" s="37">
        <f>MAX(INDEX(Mark,0,MATCH(F12,B1:D1,0)))</f>
        <v>89</v>
      </c>
      <c r="H12" s="37">
        <f>MIN(INDEX(Mark,0,MATCH(F12,B1:D1,0)))</f>
        <v>28</v>
      </c>
    </row>
  </sheetData>
  <dataValidations count="2">
    <dataValidation type="list" allowBlank="1" showInputMessage="1" showErrorMessage="1" sqref="F4" xr:uid="{61C4861D-2BCA-49FF-8D0F-4D7677581AA6}">
      <formula1>$A2:$A11</formula1>
    </dataValidation>
    <dataValidation type="list" allowBlank="1" showInputMessage="1" showErrorMessage="1" sqref="F12" xr:uid="{82827874-07A5-4FE2-89B4-64E3B432790A}">
      <formula1>B$1:D$1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DB8D-013E-4AC7-AEF0-3BA8E717A781}">
  <dimension ref="A1:H11"/>
  <sheetViews>
    <sheetView showGridLines="0" zoomScale="160" zoomScaleNormal="160" workbookViewId="0">
      <selection activeCell="F3" sqref="F3"/>
    </sheetView>
  </sheetViews>
  <sheetFormatPr defaultRowHeight="14.5" x14ac:dyDescent="0.35"/>
  <cols>
    <col min="1" max="1" width="8.1796875" style="15" bestFit="1" customWidth="1"/>
    <col min="2" max="2" width="11.453125" bestFit="1" customWidth="1"/>
    <col min="6" max="6" width="9.7265625" customWidth="1"/>
    <col min="7" max="7" width="21.7265625" style="15" customWidth="1"/>
  </cols>
  <sheetData>
    <row r="1" spans="1:8" x14ac:dyDescent="0.35">
      <c r="E1" s="7" t="s">
        <v>10</v>
      </c>
      <c r="F1" s="7" t="s">
        <v>15</v>
      </c>
      <c r="G1" s="17" t="s">
        <v>32</v>
      </c>
    </row>
    <row r="2" spans="1:8" x14ac:dyDescent="0.35">
      <c r="B2" s="7" t="s">
        <v>33</v>
      </c>
      <c r="C2" s="7" t="s">
        <v>32</v>
      </c>
      <c r="E2" s="10" t="s">
        <v>0</v>
      </c>
      <c r="F2" s="11">
        <v>71</v>
      </c>
      <c r="G2" s="25" t="str">
        <f>INDEX(Grade,MATCH(F2,M,1))</f>
        <v>C</v>
      </c>
      <c r="H2" t="str">
        <f ca="1">_xlfn.FORMULATEXT(G2)</f>
        <v>=INDEX(Grade,MATCH(F2,M,1))</v>
      </c>
    </row>
    <row r="3" spans="1:8" x14ac:dyDescent="0.35">
      <c r="A3"/>
      <c r="B3" s="3">
        <v>0</v>
      </c>
      <c r="C3" s="3" t="s">
        <v>39</v>
      </c>
      <c r="E3" s="10" t="s">
        <v>6</v>
      </c>
      <c r="F3" s="11">
        <v>12</v>
      </c>
      <c r="G3" s="25" t="str">
        <f>INDEX(Grade,MATCH(F3,M,1))</f>
        <v>F</v>
      </c>
      <c r="H3" t="str">
        <f t="shared" ref="H3:H11" ca="1" si="0">_xlfn.FORMULATEXT(G3)</f>
        <v>=INDEX(Grade,MATCH(F3,M,1))</v>
      </c>
    </row>
    <row r="4" spans="1:8" x14ac:dyDescent="0.35">
      <c r="A4"/>
      <c r="B4" s="3">
        <v>25</v>
      </c>
      <c r="C4" s="3" t="s">
        <v>38</v>
      </c>
      <c r="E4" s="10" t="s">
        <v>2</v>
      </c>
      <c r="F4" s="11">
        <v>44</v>
      </c>
      <c r="G4" s="25" t="str">
        <f>INDEX(Grade,MATCH(F4,M,1))</f>
        <v>E</v>
      </c>
      <c r="H4" t="str">
        <f t="shared" ca="1" si="0"/>
        <v>=INDEX(Grade,MATCH(F4,M,1))</v>
      </c>
    </row>
    <row r="5" spans="1:8" x14ac:dyDescent="0.35">
      <c r="B5" s="3">
        <v>50</v>
      </c>
      <c r="C5" s="3" t="s">
        <v>37</v>
      </c>
      <c r="E5" s="10" t="s">
        <v>3</v>
      </c>
      <c r="F5" s="11">
        <v>97</v>
      </c>
      <c r="G5" s="25" t="str">
        <f>INDEX(Grade,MATCH(F5,M,1))</f>
        <v>A</v>
      </c>
      <c r="H5" t="str">
        <f t="shared" ca="1" si="0"/>
        <v>=INDEX(Grade,MATCH(F5,M,1))</v>
      </c>
    </row>
    <row r="6" spans="1:8" x14ac:dyDescent="0.35">
      <c r="B6" s="3">
        <v>70</v>
      </c>
      <c r="C6" s="3" t="s">
        <v>36</v>
      </c>
      <c r="E6" s="10" t="s">
        <v>4</v>
      </c>
      <c r="F6" s="11">
        <v>47</v>
      </c>
      <c r="G6" s="25" t="str">
        <f>INDEX(Grade,MATCH(F6,M,1))</f>
        <v>E</v>
      </c>
      <c r="H6" t="str">
        <f t="shared" ca="1" si="0"/>
        <v>=INDEX(Grade,MATCH(F6,M,1))</v>
      </c>
    </row>
    <row r="7" spans="1:8" x14ac:dyDescent="0.35">
      <c r="B7" s="3">
        <v>80</v>
      </c>
      <c r="C7" s="3" t="s">
        <v>35</v>
      </c>
      <c r="E7" s="10" t="s">
        <v>5</v>
      </c>
      <c r="F7" s="11">
        <v>10</v>
      </c>
      <c r="G7" s="25" t="str">
        <f>INDEX(Grade,MATCH(F7,M,1))</f>
        <v>F</v>
      </c>
      <c r="H7" t="str">
        <f t="shared" ca="1" si="0"/>
        <v>=INDEX(Grade,MATCH(F7,M,1))</v>
      </c>
    </row>
    <row r="8" spans="1:8" x14ac:dyDescent="0.35">
      <c r="B8" s="3">
        <v>90</v>
      </c>
      <c r="C8" s="3" t="s">
        <v>34</v>
      </c>
      <c r="E8" s="10" t="s">
        <v>1</v>
      </c>
      <c r="F8" s="11">
        <v>87</v>
      </c>
      <c r="G8" s="25" t="str">
        <f>INDEX(Grade,MATCH(F8,M,1))</f>
        <v>B</v>
      </c>
      <c r="H8" t="str">
        <f t="shared" ca="1" si="0"/>
        <v>=INDEX(Grade,MATCH(F8,M,1))</v>
      </c>
    </row>
    <row r="9" spans="1:8" x14ac:dyDescent="0.35">
      <c r="E9" s="10" t="s">
        <v>7</v>
      </c>
      <c r="F9" s="11">
        <v>27</v>
      </c>
      <c r="G9" s="25" t="str">
        <f>INDEX(Grade,MATCH(F9,M,1))</f>
        <v>E</v>
      </c>
      <c r="H9" t="str">
        <f t="shared" ca="1" si="0"/>
        <v>=INDEX(Grade,MATCH(F9,M,1))</v>
      </c>
    </row>
    <row r="10" spans="1:8" x14ac:dyDescent="0.35">
      <c r="E10" s="10" t="s">
        <v>8</v>
      </c>
      <c r="F10" s="11">
        <v>35</v>
      </c>
      <c r="G10" s="25" t="str">
        <f>INDEX(Grade,MATCH(F10,M,1))</f>
        <v>E</v>
      </c>
      <c r="H10" t="str">
        <f t="shared" ca="1" si="0"/>
        <v>=INDEX(Grade,MATCH(F10,M,1))</v>
      </c>
    </row>
    <row r="11" spans="1:8" x14ac:dyDescent="0.35">
      <c r="E11" s="10" t="s">
        <v>9</v>
      </c>
      <c r="F11" s="11">
        <v>67</v>
      </c>
      <c r="G11" s="25" t="str">
        <f>INDEX(Grade,MATCH(F11,M,1))</f>
        <v>D</v>
      </c>
      <c r="H11" t="str">
        <f t="shared" ca="1" si="0"/>
        <v>=INDEX(Grade,MATCH(F11,M,1))</v>
      </c>
    </row>
  </sheetData>
  <conditionalFormatting sqref="F2:G11">
    <cfRule type="expression" dxfId="9" priority="1">
      <formula>$G2=$C$3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83F1-34D6-41A6-8745-288B13633B4A}">
  <sheetPr codeName="Sheet8"/>
  <dimension ref="A1:H11"/>
  <sheetViews>
    <sheetView showGridLines="0" zoomScale="160" zoomScaleNormal="160" workbookViewId="0">
      <selection activeCell="F6" sqref="F6"/>
    </sheetView>
  </sheetViews>
  <sheetFormatPr defaultRowHeight="14.5" x14ac:dyDescent="0.35"/>
  <cols>
    <col min="1" max="1" width="8.1796875" style="15" bestFit="1" customWidth="1"/>
    <col min="2" max="2" width="11.453125" bestFit="1" customWidth="1"/>
    <col min="6" max="6" width="9.7265625" customWidth="1"/>
    <col min="7" max="7" width="9.453125" style="15" customWidth="1"/>
  </cols>
  <sheetData>
    <row r="1" spans="1:8" x14ac:dyDescent="0.35">
      <c r="E1" s="7" t="s">
        <v>10</v>
      </c>
      <c r="F1" s="7" t="s">
        <v>15</v>
      </c>
      <c r="G1" s="17" t="s">
        <v>32</v>
      </c>
    </row>
    <row r="2" spans="1:8" x14ac:dyDescent="0.35">
      <c r="B2" s="7" t="s">
        <v>33</v>
      </c>
      <c r="C2" s="7" t="s">
        <v>32</v>
      </c>
      <c r="E2" s="10" t="s">
        <v>0</v>
      </c>
      <c r="F2" s="11">
        <v>71</v>
      </c>
      <c r="G2" s="3" t="str">
        <f>INDEX(g,MATCH(F2,mr,-1))</f>
        <v>C</v>
      </c>
      <c r="H2" t="str">
        <f ca="1">_xlfn.FORMULATEXT(G2)</f>
        <v>=INDEX(g,MATCH(F2,mr,-1))</v>
      </c>
    </row>
    <row r="3" spans="1:8" x14ac:dyDescent="0.35">
      <c r="A3"/>
      <c r="B3" s="3">
        <v>100</v>
      </c>
      <c r="C3" s="3" t="s">
        <v>34</v>
      </c>
      <c r="E3" s="10" t="s">
        <v>6</v>
      </c>
      <c r="F3" s="11">
        <v>88</v>
      </c>
      <c r="G3" s="3" t="str">
        <f>INDEX(g,MATCH(F3,mr,-1))</f>
        <v>B</v>
      </c>
      <c r="H3" t="str">
        <f t="shared" ref="H3:H11" ca="1" si="0">_xlfn.FORMULATEXT(G3)</f>
        <v>=INDEX(g,MATCH(F3,mr,-1))</v>
      </c>
    </row>
    <row r="4" spans="1:8" x14ac:dyDescent="0.35">
      <c r="A4"/>
      <c r="B4" s="3">
        <v>90</v>
      </c>
      <c r="C4" s="3" t="s">
        <v>35</v>
      </c>
      <c r="E4" s="10" t="s">
        <v>2</v>
      </c>
      <c r="F4" s="11">
        <v>44</v>
      </c>
      <c r="G4" s="3" t="str">
        <f>INDEX(g,MATCH(F4,mr,-1))</f>
        <v>E</v>
      </c>
      <c r="H4" t="str">
        <f t="shared" ca="1" si="0"/>
        <v>=INDEX(g,MATCH(F4,mr,-1))</v>
      </c>
    </row>
    <row r="5" spans="1:8" x14ac:dyDescent="0.35">
      <c r="B5" s="3">
        <v>80</v>
      </c>
      <c r="C5" s="3" t="s">
        <v>36</v>
      </c>
      <c r="E5" s="10" t="s">
        <v>3</v>
      </c>
      <c r="F5" s="11">
        <v>97</v>
      </c>
      <c r="G5" s="3" t="str">
        <f>INDEX(g,MATCH(F5,mr,-1))</f>
        <v>A</v>
      </c>
      <c r="H5" t="str">
        <f t="shared" ca="1" si="0"/>
        <v>=INDEX(g,MATCH(F5,mr,-1))</v>
      </c>
    </row>
    <row r="6" spans="1:8" x14ac:dyDescent="0.35">
      <c r="B6" s="3">
        <v>70</v>
      </c>
      <c r="C6" s="3" t="s">
        <v>37</v>
      </c>
      <c r="E6" s="10" t="s">
        <v>4</v>
      </c>
      <c r="F6" s="11">
        <v>47</v>
      </c>
      <c r="G6" s="3" t="str">
        <f>INDEX(g,MATCH(F6,mr,-1))</f>
        <v>E</v>
      </c>
      <c r="H6" t="str">
        <f t="shared" ca="1" si="0"/>
        <v>=INDEX(g,MATCH(F6,mr,-1))</v>
      </c>
    </row>
    <row r="7" spans="1:8" x14ac:dyDescent="0.35">
      <c r="B7" s="3">
        <v>50</v>
      </c>
      <c r="C7" s="3" t="s">
        <v>38</v>
      </c>
      <c r="E7" s="10" t="s">
        <v>5</v>
      </c>
      <c r="F7" s="11">
        <v>88</v>
      </c>
      <c r="G7" s="3" t="str">
        <f>INDEX(g,MATCH(F7,mr,-1))</f>
        <v>B</v>
      </c>
      <c r="H7" t="str">
        <f t="shared" ca="1" si="0"/>
        <v>=INDEX(g,MATCH(F7,mr,-1))</v>
      </c>
    </row>
    <row r="8" spans="1:8" x14ac:dyDescent="0.35">
      <c r="B8" s="3">
        <v>33</v>
      </c>
      <c r="C8" s="3" t="s">
        <v>39</v>
      </c>
      <c r="E8" s="10" t="s">
        <v>1</v>
      </c>
      <c r="F8" s="11">
        <v>91</v>
      </c>
      <c r="G8" s="3" t="str">
        <f>INDEX(g,MATCH(F8,mr,-1))</f>
        <v>A</v>
      </c>
      <c r="H8" t="str">
        <f t="shared" ca="1" si="0"/>
        <v>=INDEX(g,MATCH(F8,mr,-1))</v>
      </c>
    </row>
    <row r="9" spans="1:8" x14ac:dyDescent="0.35">
      <c r="E9" s="10" t="s">
        <v>7</v>
      </c>
      <c r="F9" s="11">
        <v>27</v>
      </c>
      <c r="G9" s="3" t="str">
        <f>INDEX(g,MATCH(F9,mr,-1))</f>
        <v>F</v>
      </c>
      <c r="H9" t="str">
        <f t="shared" ca="1" si="0"/>
        <v>=INDEX(g,MATCH(F9,mr,-1))</v>
      </c>
    </row>
    <row r="10" spans="1:8" x14ac:dyDescent="0.35">
      <c r="E10" s="10" t="s">
        <v>8</v>
      </c>
      <c r="F10" s="11">
        <v>35</v>
      </c>
      <c r="G10" s="3" t="str">
        <f>INDEX(g,MATCH(F10,mr,-1))</f>
        <v>E</v>
      </c>
      <c r="H10" t="str">
        <f t="shared" ca="1" si="0"/>
        <v>=INDEX(g,MATCH(F10,mr,-1))</v>
      </c>
    </row>
    <row r="11" spans="1:8" x14ac:dyDescent="0.35">
      <c r="E11" s="13" t="s">
        <v>9</v>
      </c>
      <c r="F11" s="11">
        <v>67</v>
      </c>
      <c r="G11" s="3" t="str">
        <f>INDEX(g,MATCH(F11,mr,-1))</f>
        <v>D</v>
      </c>
      <c r="H11" t="str">
        <f t="shared" ca="1" si="0"/>
        <v>=INDEX(g,MATCH(F11,mr,-1))</v>
      </c>
    </row>
  </sheetData>
  <conditionalFormatting sqref="F2:G11">
    <cfRule type="expression" dxfId="2" priority="2">
      <formula>$G2=g</formula>
    </cfRule>
    <cfRule type="expression" dxfId="1" priority="1">
      <formula>$G11=g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7FD8-F41F-49A9-A038-B8C1703D27D3}">
  <sheetPr codeName="Sheet10"/>
  <dimension ref="A1:E11"/>
  <sheetViews>
    <sheetView showGridLines="0" zoomScale="130" zoomScaleNormal="130" workbookViewId="0">
      <selection activeCell="D4" sqref="D4"/>
    </sheetView>
  </sheetViews>
  <sheetFormatPr defaultRowHeight="14.5" x14ac:dyDescent="0.35"/>
  <cols>
    <col min="3" max="3" width="5.1796875" customWidth="1"/>
    <col min="5" max="5" width="10.7265625" bestFit="1" customWidth="1"/>
  </cols>
  <sheetData>
    <row r="1" spans="1:5" x14ac:dyDescent="0.35">
      <c r="A1" s="4" t="s">
        <v>10</v>
      </c>
      <c r="B1" s="4" t="s">
        <v>11</v>
      </c>
    </row>
    <row r="2" spans="1:5" x14ac:dyDescent="0.35">
      <c r="A2" s="1" t="s">
        <v>3</v>
      </c>
      <c r="B2" s="1">
        <v>93</v>
      </c>
      <c r="C2" s="18"/>
      <c r="D2" s="19" t="s">
        <v>10</v>
      </c>
      <c r="E2" s="16" t="s">
        <v>11</v>
      </c>
    </row>
    <row r="3" spans="1:5" x14ac:dyDescent="0.35">
      <c r="A3" s="1" t="s">
        <v>6</v>
      </c>
      <c r="B3" s="1">
        <v>88</v>
      </c>
      <c r="C3" s="18"/>
      <c r="D3" s="6" t="s">
        <v>3</v>
      </c>
      <c r="E3" s="3" cm="1">
        <f t="array" ref="E3">INDEX(B2:B11,MATCH(TRUE,EXACT(D3,A2:A11),0))</f>
        <v>93</v>
      </c>
    </row>
    <row r="4" spans="1:5" x14ac:dyDescent="0.35">
      <c r="A4" s="1" t="s">
        <v>2</v>
      </c>
      <c r="B4" s="1">
        <v>47</v>
      </c>
      <c r="C4" s="18"/>
    </row>
    <row r="5" spans="1:5" x14ac:dyDescent="0.35">
      <c r="A5" s="1" t="s">
        <v>40</v>
      </c>
      <c r="B5" s="1">
        <v>65</v>
      </c>
      <c r="C5" s="18"/>
    </row>
    <row r="6" spans="1:5" x14ac:dyDescent="0.35">
      <c r="A6" s="1" t="s">
        <v>4</v>
      </c>
      <c r="B6" s="1">
        <v>41</v>
      </c>
      <c r="C6" s="18"/>
      <c r="E6" t="str">
        <f ca="1">_xlfn.FORMULATEXT(E3)</f>
        <v>=INDEX(B2:B11,MATCH(TRUE,EXACT(D3,A2:A11),0))</v>
      </c>
    </row>
    <row r="7" spans="1:5" x14ac:dyDescent="0.35">
      <c r="A7" s="1" t="s">
        <v>5</v>
      </c>
      <c r="B7" s="1">
        <v>47</v>
      </c>
      <c r="C7" s="18"/>
    </row>
    <row r="8" spans="1:5" x14ac:dyDescent="0.35">
      <c r="A8" s="1" t="s">
        <v>1</v>
      </c>
      <c r="B8" s="1">
        <v>32</v>
      </c>
      <c r="C8" s="18"/>
      <c r="E8" s="28" t="s">
        <v>91</v>
      </c>
    </row>
    <row r="9" spans="1:5" x14ac:dyDescent="0.35">
      <c r="A9" s="1" t="s">
        <v>7</v>
      </c>
      <c r="B9" s="1">
        <v>57</v>
      </c>
      <c r="C9" s="18"/>
      <c r="E9" t="s">
        <v>92</v>
      </c>
    </row>
    <row r="10" spans="1:5" x14ac:dyDescent="0.35">
      <c r="A10" s="1" t="s">
        <v>8</v>
      </c>
      <c r="B10" s="1">
        <v>89</v>
      </c>
      <c r="C10" s="18"/>
    </row>
    <row r="11" spans="1:5" x14ac:dyDescent="0.35">
      <c r="A11" s="2" t="s">
        <v>9</v>
      </c>
      <c r="B11" s="1">
        <v>25</v>
      </c>
      <c r="C11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AA28-1FF4-4002-AD27-09C1BC80BD3B}">
  <sheetPr codeName="Sheet12"/>
  <dimension ref="A1:F12"/>
  <sheetViews>
    <sheetView showGridLines="0" zoomScale="130" zoomScaleNormal="130" workbookViewId="0">
      <selection activeCell="D16" sqref="D16"/>
    </sheetView>
  </sheetViews>
  <sheetFormatPr defaultRowHeight="14.5" x14ac:dyDescent="0.35"/>
  <cols>
    <col min="1" max="1" width="31.81640625" customWidth="1"/>
    <col min="2" max="2" width="11.453125" customWidth="1"/>
    <col min="3" max="3" width="4.7265625" customWidth="1"/>
    <col min="4" max="4" width="11.1796875" customWidth="1"/>
    <col min="5" max="5" width="13.1796875" customWidth="1"/>
  </cols>
  <sheetData>
    <row r="1" spans="1:6" x14ac:dyDescent="0.35">
      <c r="A1" s="20" t="s">
        <v>10</v>
      </c>
      <c r="B1" s="20" t="s">
        <v>44</v>
      </c>
      <c r="D1" s="5" t="s">
        <v>10</v>
      </c>
      <c r="E1" s="5" t="s">
        <v>44</v>
      </c>
    </row>
    <row r="2" spans="1:6" x14ac:dyDescent="0.35">
      <c r="A2" s="1" t="s">
        <v>45</v>
      </c>
      <c r="B2" s="1">
        <v>926.9</v>
      </c>
      <c r="D2" s="1" t="s">
        <v>41</v>
      </c>
      <c r="E2" s="25">
        <f>INDEX(MCap,MATCH(D2&amp;"*",Comp,0))</f>
        <v>926.9</v>
      </c>
      <c r="F2" t="str">
        <f ca="1">_xlfn.FORMULATEXT(E2)</f>
        <v>=INDEX(MCap,MATCH(D2&amp;"*",Comp,0))</v>
      </c>
    </row>
    <row r="3" spans="1:6" x14ac:dyDescent="0.35">
      <c r="A3" s="1" t="s">
        <v>46</v>
      </c>
      <c r="B3" s="1">
        <v>777.8</v>
      </c>
      <c r="D3" s="1" t="s">
        <v>42</v>
      </c>
      <c r="E3" s="25">
        <f>INDEX(MCap,MATCH(D3&amp;"*",Comp,0))</f>
        <v>750.6</v>
      </c>
    </row>
    <row r="4" spans="1:6" x14ac:dyDescent="0.35">
      <c r="A4" s="1" t="s">
        <v>47</v>
      </c>
      <c r="B4" s="1">
        <v>766.4</v>
      </c>
      <c r="D4" s="1" t="s">
        <v>43</v>
      </c>
      <c r="E4" s="25">
        <f>INDEX(MCap,MATCH(D4&amp;"*",Comp,0))</f>
        <v>499.4</v>
      </c>
    </row>
    <row r="5" spans="1:6" x14ac:dyDescent="0.35">
      <c r="A5" s="1" t="s">
        <v>48</v>
      </c>
      <c r="B5" s="1">
        <v>750.6</v>
      </c>
    </row>
    <row r="6" spans="1:6" x14ac:dyDescent="0.35">
      <c r="A6" s="1" t="s">
        <v>49</v>
      </c>
      <c r="B6" s="1">
        <v>541.5</v>
      </c>
    </row>
    <row r="7" spans="1:6" x14ac:dyDescent="0.35">
      <c r="A7" s="1" t="s">
        <v>50</v>
      </c>
      <c r="B7" s="1">
        <v>499.4</v>
      </c>
    </row>
    <row r="8" spans="1:6" x14ac:dyDescent="0.35">
      <c r="A8" s="1" t="s">
        <v>51</v>
      </c>
      <c r="B8" s="1">
        <v>491.9</v>
      </c>
      <c r="D8" t="s">
        <v>95</v>
      </c>
      <c r="E8" s="28"/>
    </row>
    <row r="9" spans="1:6" x14ac:dyDescent="0.35">
      <c r="A9" s="1" t="s">
        <v>64</v>
      </c>
      <c r="B9" s="1">
        <v>491.3</v>
      </c>
      <c r="D9" s="5" t="s">
        <v>10</v>
      </c>
      <c r="E9" s="5" t="s">
        <v>44</v>
      </c>
    </row>
    <row r="10" spans="1:6" x14ac:dyDescent="0.35">
      <c r="A10" s="1" t="s">
        <v>52</v>
      </c>
      <c r="B10" s="1">
        <v>387.7</v>
      </c>
      <c r="D10" s="1" t="s">
        <v>93</v>
      </c>
      <c r="E10" s="25">
        <f>INDEX(MCap, MATCH("*"&amp;D10&amp;"*",Comp,0))</f>
        <v>387.7</v>
      </c>
      <c r="F10" t="str">
        <f ca="1">_xlfn.FORMULATEXT(E10)</f>
        <v>=INDEX(MCap, MATCH("*"&amp;D10&amp;"*",Comp,0))</v>
      </c>
    </row>
    <row r="11" spans="1:6" x14ac:dyDescent="0.35">
      <c r="D11" s="1" t="s">
        <v>42</v>
      </c>
      <c r="E11" s="25">
        <f>INDEX(MCap, MATCH("*"&amp;D11&amp;"*",Comp,0))</f>
        <v>750.6</v>
      </c>
    </row>
    <row r="12" spans="1:6" x14ac:dyDescent="0.35">
      <c r="D12" s="1" t="s">
        <v>43</v>
      </c>
      <c r="E12" s="25">
        <f>INDEX(MCap, MATCH("*"&amp;D12&amp;"*",Comp,0))</f>
        <v>499.4</v>
      </c>
      <c r="F12" t="s">
        <v>94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0005-6064-4594-B23C-594A5DC36687}">
  <sheetPr codeName="Sheet13"/>
  <dimension ref="A1:I23"/>
  <sheetViews>
    <sheetView showGridLines="0" tabSelected="1" topLeftCell="A6" zoomScaleNormal="100" workbookViewId="0">
      <selection activeCell="K19" sqref="K19"/>
    </sheetView>
  </sheetViews>
  <sheetFormatPr defaultRowHeight="14.5" x14ac:dyDescent="0.35"/>
  <cols>
    <col min="5" max="5" width="6.1796875" customWidth="1"/>
    <col min="6" max="6" width="17.26953125" customWidth="1"/>
    <col min="7" max="7" width="12.453125" customWidth="1"/>
    <col min="8" max="8" width="11" customWidth="1"/>
    <col min="9" max="9" width="10.81640625" customWidth="1"/>
  </cols>
  <sheetData>
    <row r="1" spans="1:9" x14ac:dyDescent="0.35">
      <c r="A1" s="21" t="s">
        <v>53</v>
      </c>
      <c r="B1" s="21"/>
      <c r="C1" s="21"/>
      <c r="D1" s="21"/>
    </row>
    <row r="2" spans="1:9" x14ac:dyDescent="0.35">
      <c r="A2" s="7" t="s">
        <v>10</v>
      </c>
      <c r="B2" s="7" t="s">
        <v>15</v>
      </c>
      <c r="C2" s="7" t="s">
        <v>16</v>
      </c>
      <c r="D2" s="7" t="s">
        <v>17</v>
      </c>
      <c r="F2" s="38" t="s">
        <v>96</v>
      </c>
    </row>
    <row r="3" spans="1:9" x14ac:dyDescent="0.35">
      <c r="A3" s="10" t="s">
        <v>0</v>
      </c>
      <c r="B3" s="11">
        <v>71</v>
      </c>
      <c r="C3" s="11">
        <v>53</v>
      </c>
      <c r="D3" s="11">
        <v>89</v>
      </c>
      <c r="F3" s="1"/>
      <c r="G3" s="16" t="s">
        <v>53</v>
      </c>
      <c r="H3" s="16" t="s">
        <v>54</v>
      </c>
      <c r="I3" s="16" t="s">
        <v>55</v>
      </c>
    </row>
    <row r="4" spans="1:9" x14ac:dyDescent="0.35">
      <c r="A4" s="10" t="s">
        <v>6</v>
      </c>
      <c r="B4" s="11">
        <v>88</v>
      </c>
      <c r="C4" s="11">
        <v>45</v>
      </c>
      <c r="D4" s="11">
        <v>55</v>
      </c>
      <c r="F4" s="1"/>
      <c r="G4" s="16" t="s">
        <v>15</v>
      </c>
      <c r="H4" s="16" t="s">
        <v>16</v>
      </c>
      <c r="I4" s="16" t="s">
        <v>17</v>
      </c>
    </row>
    <row r="5" spans="1:9" x14ac:dyDescent="0.35">
      <c r="A5" s="10" t="s">
        <v>2</v>
      </c>
      <c r="B5" s="11">
        <v>44</v>
      </c>
      <c r="C5" s="11">
        <v>28</v>
      </c>
      <c r="D5" s="11">
        <v>54</v>
      </c>
      <c r="F5" s="19" t="s">
        <v>6</v>
      </c>
      <c r="G5" s="3">
        <f>INDEX((Unit,Mid,Final),MATCH($F$5,Student,0),MATCH(G4,Subject,0),COLUMN(A1))</f>
        <v>88</v>
      </c>
      <c r="H5" s="3">
        <f>INDEX((Unit,Mid,Final),MATCH($F$5,Student,0),MATCH(H4,Subject,0),COLUMN(B1))</f>
        <v>71</v>
      </c>
      <c r="I5" s="3">
        <f>INDEX((Unit,Mid,Final),MATCH($F$5,Student,0),MATCH(I4,Subject,0),COLUMN(C1))</f>
        <v>71</v>
      </c>
    </row>
    <row r="6" spans="1:9" x14ac:dyDescent="0.35">
      <c r="A6" s="10" t="s">
        <v>3</v>
      </c>
      <c r="B6" s="11">
        <v>97</v>
      </c>
      <c r="C6" s="11">
        <v>70</v>
      </c>
      <c r="D6" s="11">
        <v>73</v>
      </c>
    </row>
    <row r="7" spans="1:9" x14ac:dyDescent="0.35">
      <c r="A7" s="10" t="s">
        <v>4</v>
      </c>
      <c r="B7" s="11">
        <v>47</v>
      </c>
      <c r="C7" s="11">
        <v>34</v>
      </c>
      <c r="D7" s="11">
        <v>38</v>
      </c>
    </row>
    <row r="9" spans="1:9" x14ac:dyDescent="0.35">
      <c r="A9" s="21" t="s">
        <v>54</v>
      </c>
      <c r="B9" s="21"/>
      <c r="C9" s="21"/>
      <c r="D9" s="21"/>
      <c r="F9" s="28" t="str">
        <f ca="1">_xlfn.FORMULATEXT(G5)</f>
        <v>=INDEX((Unit,Mid,Final),MATCH($F$5,Student,0),MATCH(G4,Subject,0),COLUMN(A1))</v>
      </c>
    </row>
    <row r="10" spans="1:9" x14ac:dyDescent="0.35">
      <c r="A10" s="7" t="s">
        <v>10</v>
      </c>
      <c r="B10" s="7" t="s">
        <v>15</v>
      </c>
      <c r="C10" s="7" t="s">
        <v>16</v>
      </c>
      <c r="D10" s="7" t="s">
        <v>17</v>
      </c>
    </row>
    <row r="11" spans="1:9" x14ac:dyDescent="0.35">
      <c r="A11" s="10" t="s">
        <v>0</v>
      </c>
      <c r="B11" s="11">
        <v>79</v>
      </c>
      <c r="C11" s="11">
        <v>69</v>
      </c>
      <c r="D11" s="11">
        <v>63</v>
      </c>
    </row>
    <row r="12" spans="1:9" x14ac:dyDescent="0.35">
      <c r="A12" s="10" t="s">
        <v>6</v>
      </c>
      <c r="B12" s="11">
        <v>47</v>
      </c>
      <c r="C12" s="11">
        <v>71</v>
      </c>
      <c r="D12" s="11">
        <v>70</v>
      </c>
    </row>
    <row r="13" spans="1:9" x14ac:dyDescent="0.35">
      <c r="A13" s="10" t="s">
        <v>2</v>
      </c>
      <c r="B13" s="11">
        <v>95</v>
      </c>
      <c r="C13" s="11">
        <v>63</v>
      </c>
      <c r="D13" s="11">
        <v>37</v>
      </c>
      <c r="F13" s="1"/>
      <c r="G13" s="16" t="s">
        <v>53</v>
      </c>
      <c r="H13" s="16" t="s">
        <v>54</v>
      </c>
      <c r="I13" s="16" t="s">
        <v>55</v>
      </c>
    </row>
    <row r="14" spans="1:9" x14ac:dyDescent="0.35">
      <c r="A14" s="10" t="s">
        <v>3</v>
      </c>
      <c r="B14" s="11">
        <v>98</v>
      </c>
      <c r="C14" s="11">
        <v>89</v>
      </c>
      <c r="D14" s="11">
        <v>41</v>
      </c>
      <c r="F14" s="1"/>
      <c r="G14" s="16" t="s">
        <v>17</v>
      </c>
      <c r="H14" s="16" t="s">
        <v>15</v>
      </c>
      <c r="I14" s="16" t="s">
        <v>16</v>
      </c>
    </row>
    <row r="15" spans="1:9" x14ac:dyDescent="0.35">
      <c r="A15" s="10" t="s">
        <v>4</v>
      </c>
      <c r="B15" s="11">
        <v>71</v>
      </c>
      <c r="C15" s="11">
        <v>60</v>
      </c>
      <c r="D15" s="11">
        <v>88</v>
      </c>
      <c r="F15" s="19" t="s">
        <v>0</v>
      </c>
      <c r="G15" s="3">
        <f>INDEX((Unit,Mid,Final),MATCH($F$5,Student,0),MATCH(G14,Subject,0),COLUMN(A11))</f>
        <v>55</v>
      </c>
      <c r="H15" s="3">
        <f>INDEX((Unit,Mid,Final),MATCH($F$5,Student,0),MATCH(H14,Subject,0),COLUMN(B11))</f>
        <v>47</v>
      </c>
      <c r="I15" s="3">
        <f>INDEX((Unit,Mid,Final),MATCH($F$5,Student,0),MATCH(I14,Subject,0),COLUMN(C11))</f>
        <v>56</v>
      </c>
    </row>
    <row r="17" spans="1:9" x14ac:dyDescent="0.35">
      <c r="A17" s="21" t="s">
        <v>55</v>
      </c>
      <c r="B17" s="21"/>
      <c r="C17" s="21"/>
      <c r="D17" s="21"/>
    </row>
    <row r="18" spans="1:9" x14ac:dyDescent="0.35">
      <c r="A18" s="7" t="s">
        <v>10</v>
      </c>
      <c r="B18" s="7" t="s">
        <v>15</v>
      </c>
      <c r="C18" s="7" t="s">
        <v>16</v>
      </c>
      <c r="D18" s="7" t="s">
        <v>17</v>
      </c>
    </row>
    <row r="19" spans="1:9" x14ac:dyDescent="0.35">
      <c r="A19" s="10" t="s">
        <v>0</v>
      </c>
      <c r="B19" s="11">
        <v>70</v>
      </c>
      <c r="C19" s="11">
        <v>44</v>
      </c>
      <c r="D19" s="11">
        <v>66</v>
      </c>
    </row>
    <row r="20" spans="1:9" x14ac:dyDescent="0.35">
      <c r="A20" s="10" t="s">
        <v>6</v>
      </c>
      <c r="B20" s="11">
        <v>51</v>
      </c>
      <c r="C20" s="11">
        <v>56</v>
      </c>
      <c r="D20" s="11">
        <v>71</v>
      </c>
      <c r="F20" s="1"/>
      <c r="G20" s="16" t="s">
        <v>53</v>
      </c>
      <c r="H20" s="16" t="s">
        <v>54</v>
      </c>
      <c r="I20" s="16" t="s">
        <v>55</v>
      </c>
    </row>
    <row r="21" spans="1:9" x14ac:dyDescent="0.35">
      <c r="A21" s="10" t="s">
        <v>2</v>
      </c>
      <c r="B21" s="11">
        <v>51</v>
      </c>
      <c r="C21" s="11">
        <v>93</v>
      </c>
      <c r="D21" s="11">
        <v>55</v>
      </c>
      <c r="F21" s="1"/>
      <c r="G21" s="16" t="s">
        <v>16</v>
      </c>
      <c r="H21" s="16" t="s">
        <v>16</v>
      </c>
      <c r="I21" s="16" t="s">
        <v>16</v>
      </c>
    </row>
    <row r="22" spans="1:9" x14ac:dyDescent="0.35">
      <c r="A22" s="10" t="s">
        <v>3</v>
      </c>
      <c r="B22" s="11">
        <v>46</v>
      </c>
      <c r="C22" s="11">
        <v>40</v>
      </c>
      <c r="D22" s="11">
        <v>64</v>
      </c>
      <c r="F22" s="19" t="s">
        <v>4</v>
      </c>
      <c r="G22" s="3">
        <f>INDEX((Unit,Mid,Final),MATCH($F$5,Student,0),MATCH(G21,Subject,0),COLUMN(A18))</f>
        <v>45</v>
      </c>
      <c r="H22" s="3">
        <f>INDEX((Unit,Mid,Final),MATCH($F$5,Student,0),MATCH(H21,Subject,0),COLUMN(B18))</f>
        <v>71</v>
      </c>
      <c r="I22" s="3">
        <f>INDEX((Unit,Mid,Final),MATCH($F$5,Student,0),MATCH(I21,Subject,0),COLUMN(C18))</f>
        <v>56</v>
      </c>
    </row>
    <row r="23" spans="1:9" x14ac:dyDescent="0.35">
      <c r="A23" s="10" t="s">
        <v>4</v>
      </c>
      <c r="B23" s="11">
        <v>50</v>
      </c>
      <c r="C23" s="11">
        <v>90</v>
      </c>
      <c r="D23" s="11">
        <v>85</v>
      </c>
    </row>
  </sheetData>
  <dataValidations count="4">
    <dataValidation type="list" allowBlank="1" showInputMessage="1" showErrorMessage="1" sqref="G4:I4" xr:uid="{F036D67F-E231-468E-974B-D82B9273FB08}">
      <formula1>Sub</formula1>
    </dataValidation>
    <dataValidation type="list" allowBlank="1" showInputMessage="1" showErrorMessage="1" sqref="F22 F15" xr:uid="{7853EFD7-52D7-4FD4-83F8-891E84D694A3}">
      <formula1>Student</formula1>
    </dataValidation>
    <dataValidation type="list" allowBlank="1" showInputMessage="1" showErrorMessage="1" sqref="G21:I21 G14:I14" xr:uid="{01BB68A5-E47B-4961-B29D-4F636F3FFA8A}">
      <formula1>Subject</formula1>
    </dataValidation>
    <dataValidation type="list" allowBlank="1" showInputMessage="1" showErrorMessage="1" sqref="F5" xr:uid="{F4A0091F-3A58-48EA-A81B-52FBB46A05A3}">
      <formula1>Student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28</vt:i4>
      </vt:variant>
    </vt:vector>
  </HeadingPairs>
  <TitlesOfParts>
    <vt:vector size="40" baseType="lpstr">
      <vt:lpstr>COLUMN and ROW</vt:lpstr>
      <vt:lpstr>Name Range</vt:lpstr>
      <vt:lpstr>Horizontal Lookup</vt:lpstr>
      <vt:lpstr>Left Lookup</vt:lpstr>
      <vt:lpstr>Two Way Lookup</vt:lpstr>
      <vt:lpstr>Multiple Criteria</vt:lpstr>
      <vt:lpstr>Entire Row</vt:lpstr>
      <vt:lpstr>Approx Lookup (Ascending)</vt:lpstr>
      <vt:lpstr>Approx Lookup (Descending)</vt:lpstr>
      <vt:lpstr>Case Sensitive Lookup</vt:lpstr>
      <vt:lpstr>Wildcard</vt:lpstr>
      <vt:lpstr>Three Way Lookup</vt:lpstr>
      <vt:lpstr>Apr</vt:lpstr>
      <vt:lpstr>Aug</vt:lpstr>
      <vt:lpstr>Comp</vt:lpstr>
      <vt:lpstr>Feb</vt:lpstr>
      <vt:lpstr>Final</vt:lpstr>
      <vt:lpstr>g</vt:lpstr>
      <vt:lpstr>Grade</vt:lpstr>
      <vt:lpstr>HData</vt:lpstr>
      <vt:lpstr>Jan</vt:lpstr>
      <vt:lpstr>Jul</vt:lpstr>
      <vt:lpstr>Jun</vt:lpstr>
      <vt:lpstr>M</vt:lpstr>
      <vt:lpstr>Manager</vt:lpstr>
      <vt:lpstr>Mar</vt:lpstr>
      <vt:lpstr>Mark</vt:lpstr>
      <vt:lpstr>Marks</vt:lpstr>
      <vt:lpstr>May</vt:lpstr>
      <vt:lpstr>MCap</vt:lpstr>
      <vt:lpstr>Mid</vt:lpstr>
      <vt:lpstr>mr</vt:lpstr>
      <vt:lpstr>Name</vt:lpstr>
      <vt:lpstr>Name1</vt:lpstr>
      <vt:lpstr>Sales</vt:lpstr>
      <vt:lpstr>Score</vt:lpstr>
      <vt:lpstr>Sep</vt:lpstr>
      <vt:lpstr>Student</vt:lpstr>
      <vt:lpstr>Subject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2019-05-02T12:47:36Z</dcterms:created>
  <dcterms:modified xsi:type="dcterms:W3CDTF">2025-04-08T08:18:50Z</dcterms:modified>
</cp:coreProperties>
</file>