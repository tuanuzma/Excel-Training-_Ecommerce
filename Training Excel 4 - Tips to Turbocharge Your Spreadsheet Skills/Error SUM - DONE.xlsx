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51268\Downloads\Excel Power Query v4\Excel Power Query v4\"/>
    </mc:Choice>
  </mc:AlternateContent>
  <xr:revisionPtr revIDLastSave="0" documentId="13_ncr:1_{E10C42E5-0EE1-4EA5-AA68-17CE695B543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Raw" sheetId="1" r:id="rId1"/>
  </sheets>
  <definedNames>
    <definedName name="ExternalData_1" localSheetId="0" hidden="1">Raw!$H$1:$L$15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K16" i="1"/>
  <c r="L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587BA-AD25-4471-8A24-E188B1AB089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<sst xmlns="http://schemas.openxmlformats.org/spreadsheetml/2006/main" count="98" uniqueCount="46">
  <si>
    <t>S5</t>
  </si>
  <si>
    <t>Model</t>
  </si>
  <si>
    <t>RCP</t>
  </si>
  <si>
    <t>SAVE</t>
  </si>
  <si>
    <t>BLK</t>
  </si>
  <si>
    <t>G/STV</t>
  </si>
  <si>
    <t>PEN-PGC12S</t>
  </si>
  <si>
    <t xml:space="preserve">        84.00 </t>
  </si>
  <si>
    <t xml:space="preserve">          4.00 </t>
  </si>
  <si>
    <t xml:space="preserve">        80.00 </t>
  </si>
  <si>
    <t>PEN-PGC131S</t>
  </si>
  <si>
    <t xml:space="preserve">      165.00 </t>
  </si>
  <si>
    <t xml:space="preserve">        14.00 </t>
  </si>
  <si>
    <t xml:space="preserve">      151.00 </t>
  </si>
  <si>
    <t>PEN-PGC2201G</t>
  </si>
  <si>
    <t xml:space="preserve">      262.00 </t>
  </si>
  <si>
    <t xml:space="preserve">        36.00 </t>
  </si>
  <si>
    <t xml:space="preserve">      226.00 </t>
  </si>
  <si>
    <t>PEN-PGC22N</t>
  </si>
  <si>
    <t xml:space="preserve">        75.00 </t>
  </si>
  <si>
    <t xml:space="preserve">          9.00 </t>
  </si>
  <si>
    <t xml:space="preserve">        66.00 </t>
  </si>
  <si>
    <t>PEN-PGC3201G</t>
  </si>
  <si>
    <t xml:space="preserve">      340.00 </t>
  </si>
  <si>
    <t xml:space="preserve">        93.00 </t>
  </si>
  <si>
    <t xml:space="preserve">      247.00 </t>
  </si>
  <si>
    <t>PEN-PGC55S</t>
  </si>
  <si>
    <t xml:space="preserve">      112.00 </t>
  </si>
  <si>
    <t xml:space="preserve">      103.00 </t>
  </si>
  <si>
    <t>PEN-PGC5601S</t>
  </si>
  <si>
    <t xml:space="preserve">      290.00 </t>
  </si>
  <si>
    <t xml:space="preserve">        73.00 </t>
  </si>
  <si>
    <t xml:space="preserve">      217.00 </t>
  </si>
  <si>
    <t>PEN-PGC8801S</t>
  </si>
  <si>
    <t xml:space="preserve">      491.00 </t>
  </si>
  <si>
    <t xml:space="preserve">      175.00 </t>
  </si>
  <si>
    <t xml:space="preserve">      316.00 </t>
  </si>
  <si>
    <t>PEN-PGC26N</t>
  </si>
  <si>
    <t>PEN-PGC27N</t>
  </si>
  <si>
    <t>G/HOB</t>
  </si>
  <si>
    <t>PEN-PGH-412N(2 BURNER)</t>
  </si>
  <si>
    <t>PEN-PGH-423N(2 BURNER)</t>
  </si>
  <si>
    <t>PEN-PGC-422N(2 BURNER)</t>
  </si>
  <si>
    <t>PEN-PGC-413N(3BURNER)</t>
  </si>
  <si>
    <t>Shortcut</t>
  </si>
  <si>
    <t>Autosum - Alt +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</si>
</sst>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0117D1-E7A1-496B-B861-71CE827D9F6C}" autoFormatId="16" applyNumberFormats="0" applyBorderFormats="0" applyFontFormats="0" applyPatternFormats="0" applyAlignmentFormats="0" applyWidthHeightFormats="0">
  <queryTableRefresh nextId="6">
    <queryTableFields count="5">
      <queryTableField id="1" name="S5" tableColumnId="1"/>
      <queryTableField id="2" name="Model" tableColumnId="2"/>
      <queryTableField id="3" name="RCP" tableColumnId="3"/>
      <queryTableField id="4" name="SAVE" tableColumnId="4"/>
      <queryTableField id="5" name="BLK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03E94-9750-485D-B1F6-20B7695E3C57}" name="Table1" displayName="Table1" ref="A1:E15" totalsRowShown="0" headerRowDxfId="4" headerRowBorderDxfId="10" tableBorderDxfId="11">
  <autoFilter ref="A1:E15" xr:uid="{C0903E94-9750-485D-B1F6-20B7695E3C57}"/>
  <tableColumns count="5">
    <tableColumn id="1" xr3:uid="{E3FFB429-A8EE-4F7A-9105-442DB16629AA}" name="S5" dataDxfId="9"/>
    <tableColumn id="2" xr3:uid="{B1672985-40F3-4975-9474-1DF7150B982D}" name="Model" dataDxfId="8"/>
    <tableColumn id="3" xr3:uid="{22412553-EFDB-4502-8344-ACF11BCCAD57}" name="RCP" dataDxfId="7"/>
    <tableColumn id="4" xr3:uid="{64E2CE99-F8CE-4622-8AF4-E233EA787B10}" name="SAVE" dataDxfId="6"/>
    <tableColumn id="5" xr3:uid="{22D287FA-1CEA-451C-9331-63841BA5E95B}" name="BLK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50FD7-9AD5-4E31-8ACC-185A9AF35E87}" name="Table1_2" displayName="Table1_2" ref="H1:L16" tableType="queryTable" totalsRowCount="1">
  <autoFilter ref="H1:L15" xr:uid="{40C50FD7-9AD5-4E31-8ACC-185A9AF35E87}"/>
  <tableColumns count="5">
    <tableColumn id="1" xr3:uid="{9369CDB6-688F-470A-B69B-60639BB63410}" uniqueName="1" name="S5" queryTableFieldId="1" dataDxfId="3" totalsRowDxfId="1"/>
    <tableColumn id="2" xr3:uid="{8B77CFCF-EB17-4384-A19F-8DD608F50B13}" uniqueName="2" name="Model" queryTableFieldId="2" dataDxfId="2" totalsRowDxfId="0"/>
    <tableColumn id="3" xr3:uid="{F3AB6E1B-00DA-4A73-8242-01B877A39382}" uniqueName="3" name="RCP" totalsRowFunction="custom" queryTableFieldId="3">
      <totalsRowFormula>SUBTOTAL(109,J2:J15)</totalsRowFormula>
    </tableColumn>
    <tableColumn id="4" xr3:uid="{0CC5F668-6DA0-4913-9628-FF23071E299C}" uniqueName="4" name="SAVE" totalsRowFunction="custom" queryTableFieldId="4">
      <totalsRowFormula>SUBTOTAL(109,K2:K15)</totalsRowFormula>
    </tableColumn>
    <tableColumn id="5" xr3:uid="{48874BEB-F6D7-4F35-BE75-A230E0C5581C}" uniqueName="5" name="BLK" totalsRowFunction="custom" queryTableFieldId="5">
      <totalsRowFormula>SUBTOTAL(109,L2:L15)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topLeftCell="D1" workbookViewId="0">
      <selection activeCell="N6" sqref="N6"/>
    </sheetView>
  </sheetViews>
  <sheetFormatPr defaultRowHeight="14.5" x14ac:dyDescent="0.35"/>
  <cols>
    <col min="1" max="1" width="7.54296875" bestFit="1" customWidth="1"/>
    <col min="2" max="2" width="26.54296875" bestFit="1" customWidth="1"/>
    <col min="3" max="4" width="11.26953125" bestFit="1" customWidth="1"/>
    <col min="5" max="5" width="11.453125" customWidth="1"/>
    <col min="8" max="8" width="6.6328125" bestFit="1" customWidth="1"/>
    <col min="9" max="9" width="23" bestFit="1" customWidth="1"/>
    <col min="10" max="10" width="6.36328125" bestFit="1" customWidth="1"/>
    <col min="11" max="11" width="7.36328125" bestFit="1" customWidth="1"/>
    <col min="12" max="12" width="6.08984375" bestFit="1" customWidth="1"/>
  </cols>
  <sheetData>
    <row r="1" spans="1:14" ht="16" thickBot="1" x14ac:dyDescent="0.4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4" ht="16" thickBot="1" x14ac:dyDescent="0.4">
      <c r="A2" s="6" t="s">
        <v>5</v>
      </c>
      <c r="B2" s="1" t="s">
        <v>6</v>
      </c>
      <c r="C2" s="2" t="s">
        <v>7</v>
      </c>
      <c r="D2" s="3" t="s">
        <v>8</v>
      </c>
      <c r="E2" s="4" t="s">
        <v>9</v>
      </c>
      <c r="H2" s="12" t="s">
        <v>5</v>
      </c>
      <c r="I2" s="12" t="s">
        <v>6</v>
      </c>
      <c r="J2">
        <v>84</v>
      </c>
      <c r="K2">
        <v>4</v>
      </c>
      <c r="L2">
        <v>80</v>
      </c>
      <c r="N2" t="s">
        <v>44</v>
      </c>
    </row>
    <row r="3" spans="1:14" ht="16" thickBot="1" x14ac:dyDescent="0.4">
      <c r="A3" s="6" t="s">
        <v>5</v>
      </c>
      <c r="B3" s="1" t="s">
        <v>10</v>
      </c>
      <c r="C3" s="5" t="s">
        <v>11</v>
      </c>
      <c r="D3" s="3" t="s">
        <v>12</v>
      </c>
      <c r="E3" s="4" t="s">
        <v>13</v>
      </c>
      <c r="H3" s="12" t="s">
        <v>5</v>
      </c>
      <c r="I3" s="12" t="s">
        <v>10</v>
      </c>
      <c r="J3">
        <v>165</v>
      </c>
      <c r="K3">
        <v>14</v>
      </c>
      <c r="L3">
        <v>151</v>
      </c>
      <c r="N3" t="s">
        <v>45</v>
      </c>
    </row>
    <row r="4" spans="1:14" ht="16" thickBot="1" x14ac:dyDescent="0.4">
      <c r="A4" s="6" t="s">
        <v>5</v>
      </c>
      <c r="B4" s="1" t="s">
        <v>14</v>
      </c>
      <c r="C4" s="3" t="s">
        <v>15</v>
      </c>
      <c r="D4" s="3" t="s">
        <v>16</v>
      </c>
      <c r="E4" s="4" t="s">
        <v>17</v>
      </c>
      <c r="H4" s="12" t="s">
        <v>5</v>
      </c>
      <c r="I4" s="12" t="s">
        <v>14</v>
      </c>
      <c r="J4">
        <v>262</v>
      </c>
      <c r="K4">
        <v>36</v>
      </c>
      <c r="L4">
        <v>226</v>
      </c>
    </row>
    <row r="5" spans="1:14" ht="16" thickBot="1" x14ac:dyDescent="0.4">
      <c r="A5" s="6" t="s">
        <v>5</v>
      </c>
      <c r="B5" s="1" t="s">
        <v>18</v>
      </c>
      <c r="C5" s="3" t="s">
        <v>19</v>
      </c>
      <c r="D5" s="3" t="s">
        <v>20</v>
      </c>
      <c r="E5" s="4" t="s">
        <v>21</v>
      </c>
      <c r="H5" s="12" t="s">
        <v>5</v>
      </c>
      <c r="I5" s="12" t="s">
        <v>18</v>
      </c>
      <c r="J5">
        <v>75</v>
      </c>
      <c r="K5">
        <v>9</v>
      </c>
      <c r="L5">
        <v>66</v>
      </c>
    </row>
    <row r="6" spans="1:14" ht="16" thickBot="1" x14ac:dyDescent="0.4">
      <c r="A6" s="6" t="s">
        <v>5</v>
      </c>
      <c r="B6" s="1" t="s">
        <v>22</v>
      </c>
      <c r="C6" s="3" t="s">
        <v>23</v>
      </c>
      <c r="D6" s="3" t="s">
        <v>24</v>
      </c>
      <c r="E6" s="4" t="s">
        <v>25</v>
      </c>
      <c r="H6" s="12" t="s">
        <v>5</v>
      </c>
      <c r="I6" s="12" t="s">
        <v>22</v>
      </c>
      <c r="J6">
        <v>340</v>
      </c>
      <c r="K6">
        <v>93</v>
      </c>
      <c r="L6">
        <v>247</v>
      </c>
    </row>
    <row r="7" spans="1:14" ht="16" thickBot="1" x14ac:dyDescent="0.4">
      <c r="A7" s="6" t="s">
        <v>5</v>
      </c>
      <c r="B7" s="1" t="s">
        <v>26</v>
      </c>
      <c r="C7" s="3" t="s">
        <v>27</v>
      </c>
      <c r="D7" s="3" t="s">
        <v>20</v>
      </c>
      <c r="E7" s="4" t="s">
        <v>28</v>
      </c>
      <c r="H7" s="12" t="s">
        <v>5</v>
      </c>
      <c r="I7" s="12" t="s">
        <v>26</v>
      </c>
      <c r="J7">
        <v>112</v>
      </c>
      <c r="K7">
        <v>9</v>
      </c>
      <c r="L7">
        <v>103</v>
      </c>
    </row>
    <row r="8" spans="1:14" ht="16" thickBot="1" x14ac:dyDescent="0.4">
      <c r="A8" s="6" t="s">
        <v>5</v>
      </c>
      <c r="B8" s="1" t="s">
        <v>29</v>
      </c>
      <c r="C8" s="3" t="s">
        <v>30</v>
      </c>
      <c r="D8" s="3" t="s">
        <v>31</v>
      </c>
      <c r="E8" s="4" t="s">
        <v>32</v>
      </c>
      <c r="H8" s="12" t="s">
        <v>5</v>
      </c>
      <c r="I8" s="12" t="s">
        <v>29</v>
      </c>
      <c r="J8">
        <v>290</v>
      </c>
      <c r="K8">
        <v>73</v>
      </c>
      <c r="L8">
        <v>217</v>
      </c>
    </row>
    <row r="9" spans="1:14" ht="16" thickBot="1" x14ac:dyDescent="0.4">
      <c r="A9" s="6" t="s">
        <v>5</v>
      </c>
      <c r="B9" s="1" t="s">
        <v>33</v>
      </c>
      <c r="C9" s="3" t="s">
        <v>34</v>
      </c>
      <c r="D9" s="3" t="s">
        <v>35</v>
      </c>
      <c r="E9" s="4" t="s">
        <v>36</v>
      </c>
      <c r="H9" s="12" t="s">
        <v>5</v>
      </c>
      <c r="I9" s="12" t="s">
        <v>33</v>
      </c>
      <c r="J9">
        <v>491</v>
      </c>
      <c r="K9">
        <v>175</v>
      </c>
      <c r="L9">
        <v>316</v>
      </c>
    </row>
    <row r="10" spans="1:14" ht="16" thickBot="1" x14ac:dyDescent="0.4">
      <c r="A10" s="6" t="s">
        <v>5</v>
      </c>
      <c r="B10" s="1" t="s">
        <v>37</v>
      </c>
      <c r="C10" s="3" t="s">
        <v>19</v>
      </c>
      <c r="D10" s="3" t="s">
        <v>20</v>
      </c>
      <c r="E10" s="4" t="s">
        <v>21</v>
      </c>
      <c r="H10" s="12" t="s">
        <v>5</v>
      </c>
      <c r="I10" s="12" t="s">
        <v>37</v>
      </c>
      <c r="J10">
        <v>75</v>
      </c>
      <c r="K10">
        <v>9</v>
      </c>
      <c r="L10">
        <v>66</v>
      </c>
    </row>
    <row r="11" spans="1:14" ht="16" thickBot="1" x14ac:dyDescent="0.4">
      <c r="A11" s="6" t="s">
        <v>5</v>
      </c>
      <c r="B11" s="1" t="s">
        <v>38</v>
      </c>
      <c r="C11" s="3" t="s">
        <v>19</v>
      </c>
      <c r="D11" s="3" t="s">
        <v>20</v>
      </c>
      <c r="E11" s="4" t="s">
        <v>21</v>
      </c>
      <c r="H11" s="12" t="s">
        <v>5</v>
      </c>
      <c r="I11" s="12" t="s">
        <v>38</v>
      </c>
      <c r="J11">
        <v>75</v>
      </c>
      <c r="K11">
        <v>9</v>
      </c>
      <c r="L11">
        <v>66</v>
      </c>
    </row>
    <row r="12" spans="1:14" ht="16" thickBot="1" x14ac:dyDescent="0.4">
      <c r="A12" s="6" t="s">
        <v>39</v>
      </c>
      <c r="B12" s="1" t="s">
        <v>40</v>
      </c>
      <c r="C12" s="3">
        <v>382</v>
      </c>
      <c r="D12" s="3">
        <v>52</v>
      </c>
      <c r="E12" s="4">
        <v>330</v>
      </c>
      <c r="H12" s="12" t="s">
        <v>39</v>
      </c>
      <c r="I12" s="12" t="s">
        <v>40</v>
      </c>
      <c r="J12">
        <v>382</v>
      </c>
      <c r="K12">
        <v>52</v>
      </c>
      <c r="L12">
        <v>330</v>
      </c>
    </row>
    <row r="13" spans="1:14" ht="16" thickBot="1" x14ac:dyDescent="0.4">
      <c r="A13" s="6" t="s">
        <v>39</v>
      </c>
      <c r="B13" s="1" t="s">
        <v>41</v>
      </c>
      <c r="C13" s="3">
        <v>378</v>
      </c>
      <c r="D13" s="3">
        <v>50</v>
      </c>
      <c r="E13" s="4">
        <v>328</v>
      </c>
      <c r="H13" s="12" t="s">
        <v>39</v>
      </c>
      <c r="I13" s="12" t="s">
        <v>41</v>
      </c>
      <c r="J13">
        <v>378</v>
      </c>
      <c r="K13">
        <v>50</v>
      </c>
      <c r="L13">
        <v>328</v>
      </c>
    </row>
    <row r="14" spans="1:14" ht="16" thickBot="1" x14ac:dyDescent="0.4">
      <c r="A14" s="6" t="s">
        <v>39</v>
      </c>
      <c r="B14" s="1" t="s">
        <v>42</v>
      </c>
      <c r="C14" s="3">
        <v>378</v>
      </c>
      <c r="D14" s="3">
        <v>50</v>
      </c>
      <c r="E14" s="4">
        <v>328</v>
      </c>
      <c r="H14" s="12" t="s">
        <v>39</v>
      </c>
      <c r="I14" s="12" t="s">
        <v>42</v>
      </c>
      <c r="J14">
        <v>378</v>
      </c>
      <c r="K14">
        <v>50</v>
      </c>
      <c r="L14">
        <v>328</v>
      </c>
    </row>
    <row r="15" spans="1:14" ht="15.5" x14ac:dyDescent="0.35">
      <c r="A15" s="9" t="s">
        <v>39</v>
      </c>
      <c r="B15" s="10" t="s">
        <v>43</v>
      </c>
      <c r="C15" s="2">
        <v>439</v>
      </c>
      <c r="D15" s="2">
        <v>50</v>
      </c>
      <c r="E15" s="11">
        <v>389</v>
      </c>
      <c r="H15" s="12" t="s">
        <v>39</v>
      </c>
      <c r="I15" s="12" t="s">
        <v>43</v>
      </c>
      <c r="J15">
        <v>439</v>
      </c>
      <c r="K15">
        <v>50</v>
      </c>
      <c r="L15">
        <v>389</v>
      </c>
    </row>
    <row r="16" spans="1:14" x14ac:dyDescent="0.35">
      <c r="H16" s="12"/>
      <c r="I16" s="12"/>
      <c r="J16">
        <f t="shared" ref="J16:L16" si="0">SUBTOTAL(109,J2:J15)</f>
        <v>3546</v>
      </c>
      <c r="K16">
        <f t="shared" si="0"/>
        <v>633</v>
      </c>
      <c r="L16">
        <f t="shared" si="0"/>
        <v>2913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D689A-5C72-425B-BC35-CC7742882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Jaevis-PC</dc:creator>
  <cp:lastModifiedBy>Muhammad Farid Farhat</cp:lastModifiedBy>
  <dcterms:created xsi:type="dcterms:W3CDTF">2019-03-27T03:11:23Z</dcterms:created>
  <dcterms:modified xsi:type="dcterms:W3CDTF">2025-04-23T02:20:39Z</dcterms:modified>
</cp:coreProperties>
</file>