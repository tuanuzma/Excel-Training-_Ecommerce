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AE431407-D15B-4C7A-95AD-C743244C4C1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6" r:id="rId1"/>
    <sheet name="Table1" sheetId="5" r:id="rId2"/>
    <sheet name="Raw Data" sheetId="4" r:id="rId3"/>
  </sheets>
  <definedNames>
    <definedName name="ExternalData_1" localSheetId="1" hidden="1">Table1!$A$1:$F$32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D2387-66E5-4141-8C82-5125C287F368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<sst xmlns="http://schemas.openxmlformats.org/spreadsheetml/2006/main" count="373" uniqueCount="121">
  <si>
    <t>ID</t>
  </si>
  <si>
    <t>Name</t>
  </si>
  <si>
    <t>Gender</t>
  </si>
  <si>
    <t>Date of birth</t>
  </si>
  <si>
    <t>Age</t>
  </si>
  <si>
    <t>Address</t>
  </si>
  <si>
    <t>Basic</t>
  </si>
  <si>
    <t>Allowance</t>
  </si>
  <si>
    <t>Dept</t>
  </si>
  <si>
    <t>Position</t>
  </si>
  <si>
    <t>A1000</t>
  </si>
  <si>
    <t>Noor Aini Bt Mohd Ariff</t>
  </si>
  <si>
    <t>Female</t>
  </si>
  <si>
    <t>Lot 20, Jln Modal 23/2, S. 23</t>
  </si>
  <si>
    <t>Accounts</t>
  </si>
  <si>
    <t>Manager</t>
  </si>
  <si>
    <t>A1001</t>
  </si>
  <si>
    <t>10B, Jalan Wawasan Ampang 2/8</t>
  </si>
  <si>
    <t>Asst Manager</t>
  </si>
  <si>
    <t>A1019</t>
  </si>
  <si>
    <t>Rohaya Bt Hamzah</t>
  </si>
  <si>
    <t>Lot 11,Jalan P/15, Seksyen 10,</t>
  </si>
  <si>
    <t>Exec</t>
  </si>
  <si>
    <t>A1026</t>
  </si>
  <si>
    <t>Zainal Bin Zainuddin</t>
  </si>
  <si>
    <t>Male</t>
  </si>
  <si>
    <t>No. 31, Jalan Kartunist U1/47,</t>
  </si>
  <si>
    <t>Clerk</t>
  </si>
  <si>
    <t>A1006</t>
  </si>
  <si>
    <t>No 12, Jalan 2/2A</t>
  </si>
  <si>
    <t>Advertising</t>
  </si>
  <si>
    <t>A1007</t>
  </si>
  <si>
    <t>Palaniandy A/L Suppiah</t>
  </si>
  <si>
    <t>71,Jln PBS 14/2,Tmn Perindus-</t>
  </si>
  <si>
    <t>A1025</t>
  </si>
  <si>
    <t>Halijah Bt Judin</t>
  </si>
  <si>
    <t>No. 841, Jalan Masjid Lama</t>
  </si>
  <si>
    <t>A1016</t>
  </si>
  <si>
    <t>Lot 11201-11203,Batu 2,</t>
  </si>
  <si>
    <t>HR</t>
  </si>
  <si>
    <t>A1017</t>
  </si>
  <si>
    <t>Junaidah Bt Ramli</t>
  </si>
  <si>
    <t>Lot 14, Jalan 6/2,</t>
  </si>
  <si>
    <t>A1018</t>
  </si>
  <si>
    <t>Jamaliah Bt Ramli</t>
  </si>
  <si>
    <t>No 7, Kawasan Miel Shah Alam</t>
  </si>
  <si>
    <t>A1010</t>
  </si>
  <si>
    <t>12Th. Fl., Mahatun Plaza Build</t>
  </si>
  <si>
    <t>Inventory</t>
  </si>
  <si>
    <t>A1011</t>
  </si>
  <si>
    <t>Poobhalak A/L Kochamboo</t>
  </si>
  <si>
    <t>No.33, Jalan 10/3B, Off Jalan</t>
  </si>
  <si>
    <t>A1012</t>
  </si>
  <si>
    <t>Krishnan A/L Shanmugam</t>
  </si>
  <si>
    <t>No.10, Lorong Keluli,</t>
  </si>
  <si>
    <t>A1023</t>
  </si>
  <si>
    <t>Sandradevi D/O Manickam</t>
  </si>
  <si>
    <t>Lot No. 2-4, Solok Sultan</t>
  </si>
  <si>
    <t>A1024</t>
  </si>
  <si>
    <t>Rukineh Bt Judin</t>
  </si>
  <si>
    <t>Taman Semarak, Nilai</t>
  </si>
  <si>
    <t>A1013</t>
  </si>
  <si>
    <t>Mogan A/L Subramaniam</t>
  </si>
  <si>
    <t>No.26,Jln TPK 2/6,Tnm Perindus</t>
  </si>
  <si>
    <t>IT</t>
  </si>
  <si>
    <t>A1014</t>
  </si>
  <si>
    <t>No.21,Jln TP 7/6,Sime Uep</t>
  </si>
  <si>
    <t>A1015</t>
  </si>
  <si>
    <t>Ravehchan Theran</t>
  </si>
  <si>
    <t>Lot P.T.Nos:1667 &amp; 1668,</t>
  </si>
  <si>
    <t>A1004</t>
  </si>
  <si>
    <t>Aminaton Bt Zawawi</t>
  </si>
  <si>
    <t>No 9 Jalan 9/11B, Desa Tun</t>
  </si>
  <si>
    <t>Marketing</t>
  </si>
  <si>
    <t>A1005</t>
  </si>
  <si>
    <t>Sivam A/L Marutha Muthoo</t>
  </si>
  <si>
    <t>Lot P.T.506, Persiaran Sabak B</t>
  </si>
  <si>
    <t>A1021</t>
  </si>
  <si>
    <t>Zaharuddin Bin Mohd Noor</t>
  </si>
  <si>
    <t>Lot 1563 Nilai Ind. Estate</t>
  </si>
  <si>
    <t>A1027</t>
  </si>
  <si>
    <t>Jamaliah Bt Abd.Hamid</t>
  </si>
  <si>
    <t>Lot 22,Rawang Industrial Estat</t>
  </si>
  <si>
    <t>A1008</t>
  </si>
  <si>
    <t>Kamatchi A/P Pethan Olakkan</t>
  </si>
  <si>
    <t>No. 12, 12A, Jalan 2/2A,</t>
  </si>
  <si>
    <t>Purchasing</t>
  </si>
  <si>
    <t>A1009</t>
  </si>
  <si>
    <t>10, Jalan Desa Serdang 5,</t>
  </si>
  <si>
    <t>A1022</t>
  </si>
  <si>
    <t>Jayakumar A/L P Munusamy</t>
  </si>
  <si>
    <t>Lot 1, Persiaran Sabak Bernam</t>
  </si>
  <si>
    <t>A1028</t>
  </si>
  <si>
    <t>Rahimah Bt Abu Bakar</t>
  </si>
  <si>
    <t>13 Jalan 222, 46100</t>
  </si>
  <si>
    <t>A1030</t>
  </si>
  <si>
    <t>Ravichandran A/L Palanianali</t>
  </si>
  <si>
    <t>No.3,Jalan Bp 5/5,</t>
  </si>
  <si>
    <t>A1002</t>
  </si>
  <si>
    <t>Mohd Azhari Bin Zainuddin</t>
  </si>
  <si>
    <t>No 483, Kawasan Industrial,</t>
  </si>
  <si>
    <t>Sales</t>
  </si>
  <si>
    <t>A1003</t>
  </si>
  <si>
    <t>Chandran A/L Alagan</t>
  </si>
  <si>
    <t>Lot 47687, Jalan Bukit Idaman</t>
  </si>
  <si>
    <t>A1020</t>
  </si>
  <si>
    <t>Mohamad Kamaruddin Bin Siwan</t>
  </si>
  <si>
    <t>No. 17, Lorong Pjs 7/20B,</t>
  </si>
  <si>
    <t>A1029</t>
  </si>
  <si>
    <t>Mohd Said Bin Abdul Wahab</t>
  </si>
  <si>
    <t>No 3, Lorong Perak, Kawasan Pe</t>
  </si>
  <si>
    <t>Zarina Bt Abas</t>
  </si>
  <si>
    <t>Siti Hajar Bt Ab Majid</t>
  </si>
  <si>
    <t>Roslan Bin Harun</t>
  </si>
  <si>
    <t>Dzulkifly Bin Kamari</t>
  </si>
  <si>
    <t>Mohamad Zainal Bin Ali</t>
  </si>
  <si>
    <t>the green is smart tag</t>
  </si>
  <si>
    <t>Total Salary</t>
  </si>
  <si>
    <t>Row Labels</t>
  </si>
  <si>
    <t>Grand Total</t>
  </si>
  <si>
    <t>Sum of 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</si>
</sst>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" x14ac:knownFonts="1">
    <font>
      <sz val="13"/>
      <color theme="1"/>
      <name val="Calibri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567764</xdr:colOff>
      <xdr:row>1</xdr:row>
      <xdr:rowOff>201705</xdr:rowOff>
    </xdr:from>
    <xdr:to>
      <xdr:col>12</xdr:col>
      <xdr:colOff>89647</xdr:colOff>
      <xdr:row>9</xdr:row>
      <xdr:rowOff>107257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65487-39CA-40D4-BA1A-5928F86E7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86" t="5999" r="5369"/>
        <a:stretch/>
      </xdr:blipFill>
      <xdr:spPr>
        <a:xfrm>
          <a:off x="14896352" y="418352"/>
          <a:ext cx="1479177" cy="16387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Farid Farhat" refreshedDate="45770.506104513886" createdVersion="7" refreshedVersion="7" minRefreshableVersion="3" recordCount="31" xr:uid="{41AAE357-DD02-441D-B6E8-D680F532D0E7}">
  <cacheSource type="worksheet">
    <worksheetSource name="Table1_2"/>
  </cacheSource>
  <cacheFields count="6">
    <cacheField name="ID" numFmtId="0">
      <sharedItems/>
    </cacheField>
    <cacheField name="Name" numFmtId="0">
      <sharedItems count="30">
        <s v="Noor Aini Bt Mohd Ariff"/>
        <s v="Zarina Bt Abas"/>
        <s v="Rohaya Bt Hamzah"/>
        <s v="Zainal Bin Zainuddin"/>
        <s v="Siti Hajar Bt Ab Majid"/>
        <s v="Palaniandy A/L Suppiah"/>
        <s v="Halijah Bt Judin"/>
        <s v="Roslan Bin Harun"/>
        <s v="Junaidah Bt Ramli"/>
        <s v="Jamaliah Bt Ramli"/>
        <s v="Dzulkifly Bin Kamari"/>
        <s v="Poobhalak A/L Kochamboo"/>
        <s v="Krishnan A/L Shanmugam"/>
        <s v="Sandradevi D/O Manickam"/>
        <s v="Rukineh Bt Judin"/>
        <s v="Mogan A/L Subramaniam"/>
        <s v="Mohamad Zainal Bin Ali"/>
        <s v="Ravehchan Theran"/>
        <s v="Aminaton Bt Zawawi"/>
        <s v="Sivam A/L Marutha Muthoo"/>
        <s v="Zaharuddin Bin Mohd Noor"/>
        <s v="Jamaliah Bt Abd.Hamid"/>
        <s v="Kamatchi A/P Pethan Olakkan"/>
        <s v="Jayakumar A/L P Munusamy"/>
        <s v="Rahimah Bt Abu Bakar"/>
        <s v="Ravichandran A/L Palanianali"/>
        <s v="Mohd Azhari Bin Zainuddin"/>
        <s v="Chandran A/L Alagan"/>
        <s v="Mohamad Kamaruddin Bin Siwan"/>
        <s v="Mohd Said Bin Abdul Wahab"/>
      </sharedItems>
    </cacheField>
    <cacheField name="Gender" numFmtId="0">
      <sharedItems/>
    </cacheField>
    <cacheField name="Dept" numFmtId="0">
      <sharedItems count="8">
        <s v="Accounts"/>
        <s v="Advertising"/>
        <s v="HR"/>
        <s v="Inventory"/>
        <s v="IT"/>
        <s v="Marketing"/>
        <s v="Purchasing"/>
        <s v="Sales"/>
      </sharedItems>
    </cacheField>
    <cacheField name="Position" numFmtId="0">
      <sharedItems count="4">
        <s v="Manager"/>
        <s v="Asst Manager"/>
        <s v="Exec"/>
        <s v="Clerk"/>
      </sharedItems>
    </cacheField>
    <cacheField name="Total Salary" numFmtId="0">
      <sharedItems containsSemiMixedTypes="0" containsString="0" containsNumber="1" containsInteger="1" minValue="1714" maxValue="67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A1000"/>
    <x v="0"/>
    <s v="Female"/>
    <x v="0"/>
    <x v="0"/>
    <n v="2942"/>
  </r>
  <r>
    <s v="A1001"/>
    <x v="1"/>
    <s v="Female"/>
    <x v="0"/>
    <x v="1"/>
    <n v="3733"/>
  </r>
  <r>
    <s v="A1019"/>
    <x v="2"/>
    <s v="Female"/>
    <x v="0"/>
    <x v="2"/>
    <n v="6765"/>
  </r>
  <r>
    <s v="A1026"/>
    <x v="3"/>
    <s v="Male"/>
    <x v="0"/>
    <x v="3"/>
    <n v="2514"/>
  </r>
  <r>
    <s v="A1006"/>
    <x v="4"/>
    <s v="Female"/>
    <x v="1"/>
    <x v="1"/>
    <n v="3834"/>
  </r>
  <r>
    <s v="A1007"/>
    <x v="5"/>
    <s v="Male"/>
    <x v="1"/>
    <x v="2"/>
    <n v="2526"/>
  </r>
  <r>
    <s v="A1025"/>
    <x v="6"/>
    <s v="Female"/>
    <x v="1"/>
    <x v="3"/>
    <n v="3502"/>
  </r>
  <r>
    <s v="A1016"/>
    <x v="7"/>
    <s v="Male"/>
    <x v="2"/>
    <x v="0"/>
    <n v="4055"/>
  </r>
  <r>
    <s v="A1017"/>
    <x v="8"/>
    <s v="Female"/>
    <x v="2"/>
    <x v="2"/>
    <n v="3128"/>
  </r>
  <r>
    <s v="A1018"/>
    <x v="9"/>
    <s v="Female"/>
    <x v="2"/>
    <x v="2"/>
    <n v="3533"/>
  </r>
  <r>
    <s v="A1010"/>
    <x v="10"/>
    <s v="Male"/>
    <x v="3"/>
    <x v="1"/>
    <n v="2733"/>
  </r>
  <r>
    <s v="A1011"/>
    <x v="11"/>
    <s v="Male"/>
    <x v="3"/>
    <x v="2"/>
    <n v="2978"/>
  </r>
  <r>
    <s v="A1012"/>
    <x v="12"/>
    <s v="Male"/>
    <x v="3"/>
    <x v="2"/>
    <n v="4099"/>
  </r>
  <r>
    <s v="A1023"/>
    <x v="13"/>
    <s v="Female"/>
    <x v="3"/>
    <x v="2"/>
    <n v="2478"/>
  </r>
  <r>
    <s v="A1024"/>
    <x v="14"/>
    <s v="Female"/>
    <x v="3"/>
    <x v="3"/>
    <n v="1714"/>
  </r>
  <r>
    <s v="A1013"/>
    <x v="15"/>
    <s v="Male"/>
    <x v="4"/>
    <x v="0"/>
    <n v="2937"/>
  </r>
  <r>
    <s v="A1014"/>
    <x v="16"/>
    <s v="Male"/>
    <x v="4"/>
    <x v="2"/>
    <n v="4017"/>
  </r>
  <r>
    <s v="A1015"/>
    <x v="17"/>
    <s v="Male"/>
    <x v="4"/>
    <x v="2"/>
    <n v="3290"/>
  </r>
  <r>
    <s v="A1004"/>
    <x v="18"/>
    <s v="Female"/>
    <x v="5"/>
    <x v="0"/>
    <n v="3259"/>
  </r>
  <r>
    <s v="A1005"/>
    <x v="19"/>
    <s v="Male"/>
    <x v="5"/>
    <x v="2"/>
    <n v="3236"/>
  </r>
  <r>
    <s v="A1021"/>
    <x v="20"/>
    <s v="Male"/>
    <x v="5"/>
    <x v="2"/>
    <n v="3588"/>
  </r>
  <r>
    <s v="A1027"/>
    <x v="21"/>
    <s v="Female"/>
    <x v="5"/>
    <x v="3"/>
    <n v="1850"/>
  </r>
  <r>
    <s v="A1008"/>
    <x v="22"/>
    <s v="Female"/>
    <x v="6"/>
    <x v="2"/>
    <n v="2274"/>
  </r>
  <r>
    <s v="A1009"/>
    <x v="18"/>
    <s v="Female"/>
    <x v="6"/>
    <x v="2"/>
    <n v="2295"/>
  </r>
  <r>
    <s v="A1022"/>
    <x v="23"/>
    <s v="Male"/>
    <x v="6"/>
    <x v="2"/>
    <n v="2248"/>
  </r>
  <r>
    <s v="A1028"/>
    <x v="24"/>
    <s v="Female"/>
    <x v="6"/>
    <x v="3"/>
    <n v="2699"/>
  </r>
  <r>
    <s v="A1030"/>
    <x v="25"/>
    <s v="Male"/>
    <x v="6"/>
    <x v="3"/>
    <n v="1897"/>
  </r>
  <r>
    <s v="A1002"/>
    <x v="26"/>
    <s v="Male"/>
    <x v="7"/>
    <x v="0"/>
    <n v="2407"/>
  </r>
  <r>
    <s v="A1003"/>
    <x v="27"/>
    <s v="Male"/>
    <x v="7"/>
    <x v="1"/>
    <n v="2625"/>
  </r>
  <r>
    <s v="A1020"/>
    <x v="28"/>
    <s v="Male"/>
    <x v="7"/>
    <x v="2"/>
    <n v="2789"/>
  </r>
  <r>
    <s v="A1029"/>
    <x v="29"/>
    <s v="Male"/>
    <x v="7"/>
    <x v="3"/>
    <n v="30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12CE3-B3E8-4E4B-A744-7ABCDCF07D79}" name="PivotTable3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9" firstHeaderRow="1" firstDataRow="1" firstDataCol="1"/>
  <pivotFields count="6">
    <pivotField showAll="0"/>
    <pivotField axis="axisRow" showAll="0">
      <items count="31">
        <item x="18"/>
        <item x="27"/>
        <item x="10"/>
        <item x="6"/>
        <item x="21"/>
        <item x="9"/>
        <item x="23"/>
        <item x="8"/>
        <item x="22"/>
        <item x="12"/>
        <item x="15"/>
        <item x="28"/>
        <item x="16"/>
        <item x="26"/>
        <item x="29"/>
        <item x="0"/>
        <item x="5"/>
        <item x="11"/>
        <item x="24"/>
        <item x="17"/>
        <item x="25"/>
        <item x="2"/>
        <item x="7"/>
        <item x="14"/>
        <item x="13"/>
        <item x="4"/>
        <item x="19"/>
        <item x="20"/>
        <item x="3"/>
        <item x="1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showAll="0"/>
  </pivotFields>
  <rowFields count="2">
    <field x="4"/>
    <field x="1"/>
  </rowFields>
  <rowItems count="36">
    <i>
      <x/>
    </i>
    <i r="1">
      <x v="1"/>
    </i>
    <i r="1">
      <x v="2"/>
    </i>
    <i r="1">
      <x v="25"/>
    </i>
    <i r="1">
      <x v="29"/>
    </i>
    <i>
      <x v="1"/>
    </i>
    <i r="1">
      <x v="3"/>
    </i>
    <i r="1">
      <x v="4"/>
    </i>
    <i r="1">
      <x v="14"/>
    </i>
    <i r="1">
      <x v="18"/>
    </i>
    <i r="1">
      <x v="20"/>
    </i>
    <i r="1">
      <x v="23"/>
    </i>
    <i r="1">
      <x v="28"/>
    </i>
    <i>
      <x v="2"/>
    </i>
    <i r="1">
      <x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6"/>
    </i>
    <i r="1">
      <x v="17"/>
    </i>
    <i r="1">
      <x v="19"/>
    </i>
    <i r="1">
      <x v="21"/>
    </i>
    <i r="1">
      <x v="24"/>
    </i>
    <i r="1">
      <x v="26"/>
    </i>
    <i r="1">
      <x v="27"/>
    </i>
    <i>
      <x v="3"/>
    </i>
    <i r="1">
      <x/>
    </i>
    <i r="1">
      <x v="10"/>
    </i>
    <i r="1">
      <x v="13"/>
    </i>
    <i r="1">
      <x v="15"/>
    </i>
    <i r="1">
      <x v="22"/>
    </i>
    <i t="grand">
      <x/>
    </i>
  </rowItems>
  <colItems count="1">
    <i/>
  </colItems>
  <dataFields count="1">
    <dataField name="Sum of Total Salar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2B46E5-56D8-483F-B7B0-6270B3A44E9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Gender" tableColumnId="3"/>
      <queryTableField id="4" name="Dept" tableColumnId="4"/>
      <queryTableField id="5" name="Position" tableColumnId="5"/>
      <queryTableField id="6" name="Total Sala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BA352-9BF9-48D9-8DF8-5A8FD69EE5CC}" name="Table1_2" displayName="Table1_2" ref="A1:F32" tableType="queryTable" totalsRowShown="0">
  <autoFilter ref="A1:F32" xr:uid="{254BA352-9BF9-48D9-8DF8-5A8FD69EE5CC}"/>
  <tableColumns count="6">
    <tableColumn id="1" xr3:uid="{15FFA271-A088-4598-B263-EF61D5BDB22D}" uniqueName="1" name="ID" queryTableFieldId="1" dataDxfId="4"/>
    <tableColumn id="2" xr3:uid="{DF206494-977C-4FE7-89DD-F97E81396558}" uniqueName="2" name="Name" queryTableFieldId="2" dataDxfId="3"/>
    <tableColumn id="3" xr3:uid="{3569592C-97F1-43D6-89CF-D1283997056C}" uniqueName="3" name="Gender" queryTableFieldId="3" dataDxfId="2"/>
    <tableColumn id="4" xr3:uid="{F3AC4641-6D61-454D-BFE5-34D98E0DAA5A}" uniqueName="4" name="Dept" queryTableFieldId="4" dataDxfId="1"/>
    <tableColumn id="5" xr3:uid="{AFA41ED8-8A4C-4051-B5F8-03833F914C5A}" uniqueName="5" name="Position" queryTableFieldId="5" dataDxfId="0"/>
    <tableColumn id="6" xr3:uid="{EF5054E4-F956-4C6F-A2DC-14B6B91BFCAE}" uniqueName="6" name="Total Salar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85182-C055-4524-AA4C-61D87C31369C}" name="Table1" displayName="Table1" ref="A1:J32" totalsRowShown="0">
  <autoFilter ref="A1:J32" xr:uid="{FD138808-4D1B-403B-B8D9-74BA754CF661}"/>
  <tableColumns count="10">
    <tableColumn id="1" xr3:uid="{11195C94-9659-4DA2-AA0F-17E89ED612CF}" name="ID"/>
    <tableColumn id="2" xr3:uid="{CC089550-7762-4A6F-809C-C21B897AC80F}" name="Name"/>
    <tableColumn id="3" xr3:uid="{BBC01D6A-1758-4A9D-8055-F841187E598C}" name="Gender"/>
    <tableColumn id="4" xr3:uid="{DF40BB4E-625C-449A-86F9-214AB6755931}" name="Date of birth" dataDxfId="5"/>
    <tableColumn id="5" xr3:uid="{F20CA638-7B88-4763-9E23-99BF98EF8561}" name="Age">
      <calculatedColumnFormula>DATEDIF(D2,TODAY(),"Y")</calculatedColumnFormula>
    </tableColumn>
    <tableColumn id="6" xr3:uid="{F34248C0-EEC0-40E8-9729-7D6622E7C63C}" name="Address"/>
    <tableColumn id="7" xr3:uid="{B6510E38-5A67-4820-9D31-ADAEFE65AA6F}" name="Basic"/>
    <tableColumn id="8" xr3:uid="{58121A05-1047-4972-9486-32285664307D}" name="Allowance"/>
    <tableColumn id="9" xr3:uid="{44192630-2A23-4527-95FC-517EC959573E}" name="Dept"/>
    <tableColumn id="10" xr3:uid="{A019C8E0-5B2F-4829-9DAF-4FAF26785FBD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62F8-5428-45BF-A5EB-AF6122A8825D}">
  <dimension ref="A3:B39"/>
  <sheetViews>
    <sheetView tabSelected="1" topLeftCell="A13" workbookViewId="0">
      <selection activeCell="C20" sqref="C20"/>
    </sheetView>
  </sheetViews>
  <sheetFormatPr defaultRowHeight="17" x14ac:dyDescent="0.4"/>
  <cols>
    <col min="1" max="1" width="32.3828125" bestFit="1" customWidth="1"/>
    <col min="2" max="2" width="16.84375" bestFit="1" customWidth="1"/>
    <col min="3" max="3" width="15.23046875" bestFit="1" customWidth="1"/>
    <col min="4" max="4" width="5.84375" bestFit="1" customWidth="1"/>
    <col min="5" max="5" width="8.84375" bestFit="1" customWidth="1"/>
    <col min="6" max="6" width="5.84375" bestFit="1" customWidth="1"/>
    <col min="7" max="7" width="9.3828125" bestFit="1" customWidth="1"/>
    <col min="8" max="8" width="9.84375" bestFit="1" customWidth="1"/>
    <col min="9" max="9" width="5.84375" bestFit="1" customWidth="1"/>
    <col min="10" max="10" width="10.69140625" bestFit="1" customWidth="1"/>
  </cols>
  <sheetData>
    <row r="3" spans="1:2" x14ac:dyDescent="0.4">
      <c r="A3" s="10" t="s">
        <v>118</v>
      </c>
      <c r="B3" t="s">
        <v>120</v>
      </c>
    </row>
    <row r="4" spans="1:2" x14ac:dyDescent="0.4">
      <c r="A4" s="11" t="s">
        <v>18</v>
      </c>
      <c r="B4" s="9">
        <v>12925</v>
      </c>
    </row>
    <row r="5" spans="1:2" x14ac:dyDescent="0.4">
      <c r="A5" s="12" t="s">
        <v>103</v>
      </c>
      <c r="B5" s="9">
        <v>2625</v>
      </c>
    </row>
    <row r="6" spans="1:2" x14ac:dyDescent="0.4">
      <c r="A6" s="12" t="s">
        <v>114</v>
      </c>
      <c r="B6" s="9">
        <v>2733</v>
      </c>
    </row>
    <row r="7" spans="1:2" x14ac:dyDescent="0.4">
      <c r="A7" s="12" t="s">
        <v>112</v>
      </c>
      <c r="B7" s="9">
        <v>3834</v>
      </c>
    </row>
    <row r="8" spans="1:2" x14ac:dyDescent="0.4">
      <c r="A8" s="12" t="s">
        <v>111</v>
      </c>
      <c r="B8" s="9">
        <v>3733</v>
      </c>
    </row>
    <row r="9" spans="1:2" x14ac:dyDescent="0.4">
      <c r="A9" s="11" t="s">
        <v>27</v>
      </c>
      <c r="B9" s="9">
        <v>17241</v>
      </c>
    </row>
    <row r="10" spans="1:2" x14ac:dyDescent="0.4">
      <c r="A10" s="12" t="s">
        <v>35</v>
      </c>
      <c r="B10" s="9">
        <v>3502</v>
      </c>
    </row>
    <row r="11" spans="1:2" x14ac:dyDescent="0.4">
      <c r="A11" s="12" t="s">
        <v>81</v>
      </c>
      <c r="B11" s="9">
        <v>1850</v>
      </c>
    </row>
    <row r="12" spans="1:2" x14ac:dyDescent="0.4">
      <c r="A12" s="12" t="s">
        <v>109</v>
      </c>
      <c r="B12" s="9">
        <v>3065</v>
      </c>
    </row>
    <row r="13" spans="1:2" x14ac:dyDescent="0.4">
      <c r="A13" s="12" t="s">
        <v>93</v>
      </c>
      <c r="B13" s="9">
        <v>2699</v>
      </c>
    </row>
    <row r="14" spans="1:2" x14ac:dyDescent="0.4">
      <c r="A14" s="12" t="s">
        <v>96</v>
      </c>
      <c r="B14" s="9">
        <v>1897</v>
      </c>
    </row>
    <row r="15" spans="1:2" x14ac:dyDescent="0.4">
      <c r="A15" s="12" t="s">
        <v>59</v>
      </c>
      <c r="B15" s="9">
        <v>1714</v>
      </c>
    </row>
    <row r="16" spans="1:2" x14ac:dyDescent="0.4">
      <c r="A16" s="12" t="s">
        <v>24</v>
      </c>
      <c r="B16" s="9">
        <v>2514</v>
      </c>
    </row>
    <row r="17" spans="1:2" x14ac:dyDescent="0.4">
      <c r="A17" s="11" t="s">
        <v>22</v>
      </c>
      <c r="B17" s="9">
        <v>49244</v>
      </c>
    </row>
    <row r="18" spans="1:2" x14ac:dyDescent="0.4">
      <c r="A18" s="12" t="s">
        <v>71</v>
      </c>
      <c r="B18" s="9">
        <v>2295</v>
      </c>
    </row>
    <row r="19" spans="1:2" x14ac:dyDescent="0.4">
      <c r="A19" s="12" t="s">
        <v>44</v>
      </c>
      <c r="B19" s="9">
        <v>3533</v>
      </c>
    </row>
    <row r="20" spans="1:2" x14ac:dyDescent="0.4">
      <c r="A20" s="12" t="s">
        <v>90</v>
      </c>
      <c r="B20" s="9">
        <v>2248</v>
      </c>
    </row>
    <row r="21" spans="1:2" x14ac:dyDescent="0.4">
      <c r="A21" s="12" t="s">
        <v>41</v>
      </c>
      <c r="B21" s="9">
        <v>3128</v>
      </c>
    </row>
    <row r="22" spans="1:2" x14ac:dyDescent="0.4">
      <c r="A22" s="12" t="s">
        <v>84</v>
      </c>
      <c r="B22" s="9">
        <v>2274</v>
      </c>
    </row>
    <row r="23" spans="1:2" x14ac:dyDescent="0.4">
      <c r="A23" s="12" t="s">
        <v>53</v>
      </c>
      <c r="B23" s="9">
        <v>4099</v>
      </c>
    </row>
    <row r="24" spans="1:2" x14ac:dyDescent="0.4">
      <c r="A24" s="12" t="s">
        <v>106</v>
      </c>
      <c r="B24" s="9">
        <v>2789</v>
      </c>
    </row>
    <row r="25" spans="1:2" x14ac:dyDescent="0.4">
      <c r="A25" s="12" t="s">
        <v>115</v>
      </c>
      <c r="B25" s="9">
        <v>4017</v>
      </c>
    </row>
    <row r="26" spans="1:2" x14ac:dyDescent="0.4">
      <c r="A26" s="12" t="s">
        <v>32</v>
      </c>
      <c r="B26" s="9">
        <v>2526</v>
      </c>
    </row>
    <row r="27" spans="1:2" x14ac:dyDescent="0.4">
      <c r="A27" s="12" t="s">
        <v>50</v>
      </c>
      <c r="B27" s="9">
        <v>2978</v>
      </c>
    </row>
    <row r="28" spans="1:2" x14ac:dyDescent="0.4">
      <c r="A28" s="12" t="s">
        <v>68</v>
      </c>
      <c r="B28" s="9">
        <v>3290</v>
      </c>
    </row>
    <row r="29" spans="1:2" x14ac:dyDescent="0.4">
      <c r="A29" s="12" t="s">
        <v>20</v>
      </c>
      <c r="B29" s="9">
        <v>6765</v>
      </c>
    </row>
    <row r="30" spans="1:2" x14ac:dyDescent="0.4">
      <c r="A30" s="12" t="s">
        <v>56</v>
      </c>
      <c r="B30" s="9">
        <v>2478</v>
      </c>
    </row>
    <row r="31" spans="1:2" x14ac:dyDescent="0.4">
      <c r="A31" s="12" t="s">
        <v>75</v>
      </c>
      <c r="B31" s="9">
        <v>3236</v>
      </c>
    </row>
    <row r="32" spans="1:2" x14ac:dyDescent="0.4">
      <c r="A32" s="12" t="s">
        <v>78</v>
      </c>
      <c r="B32" s="9">
        <v>3588</v>
      </c>
    </row>
    <row r="33" spans="1:2" x14ac:dyDescent="0.4">
      <c r="A33" s="11" t="s">
        <v>15</v>
      </c>
      <c r="B33" s="9">
        <v>15600</v>
      </c>
    </row>
    <row r="34" spans="1:2" x14ac:dyDescent="0.4">
      <c r="A34" s="12" t="s">
        <v>71</v>
      </c>
      <c r="B34" s="9">
        <v>3259</v>
      </c>
    </row>
    <row r="35" spans="1:2" x14ac:dyDescent="0.4">
      <c r="A35" s="12" t="s">
        <v>62</v>
      </c>
      <c r="B35" s="9">
        <v>2937</v>
      </c>
    </row>
    <row r="36" spans="1:2" x14ac:dyDescent="0.4">
      <c r="A36" s="12" t="s">
        <v>99</v>
      </c>
      <c r="B36" s="9">
        <v>2407</v>
      </c>
    </row>
    <row r="37" spans="1:2" x14ac:dyDescent="0.4">
      <c r="A37" s="12" t="s">
        <v>11</v>
      </c>
      <c r="B37" s="9">
        <v>2942</v>
      </c>
    </row>
    <row r="38" spans="1:2" x14ac:dyDescent="0.4">
      <c r="A38" s="12" t="s">
        <v>113</v>
      </c>
      <c r="B38" s="9">
        <v>4055</v>
      </c>
    </row>
    <row r="39" spans="1:2" x14ac:dyDescent="0.4">
      <c r="A39" s="11" t="s">
        <v>119</v>
      </c>
      <c r="B39" s="9">
        <v>95010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54AD-B784-4C32-B5ED-A881012EB2F7}">
  <dimension ref="A1:F32"/>
  <sheetViews>
    <sheetView workbookViewId="0">
      <selection activeCell="F2" sqref="F2"/>
    </sheetView>
  </sheetViews>
  <sheetFormatPr defaultRowHeight="17" x14ac:dyDescent="0.4"/>
  <cols>
    <col min="1" max="1" width="6" bestFit="1" customWidth="1"/>
    <col min="2" max="2" width="28.3828125" bestFit="1" customWidth="1"/>
    <col min="3" max="3" width="8.921875" bestFit="1" customWidth="1"/>
    <col min="4" max="4" width="10.07421875" bestFit="1" customWidth="1"/>
    <col min="5" max="5" width="11.921875" bestFit="1" customWidth="1"/>
    <col min="6" max="6" width="12.4609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117</v>
      </c>
    </row>
    <row r="2" spans="1:6" x14ac:dyDescent="0.4">
      <c r="A2" s="9" t="s">
        <v>10</v>
      </c>
      <c r="B2" s="9" t="s">
        <v>11</v>
      </c>
      <c r="C2" s="9" t="s">
        <v>12</v>
      </c>
      <c r="D2" s="9" t="s">
        <v>14</v>
      </c>
      <c r="E2" s="9" t="s">
        <v>15</v>
      </c>
      <c r="F2">
        <v>2942</v>
      </c>
    </row>
    <row r="3" spans="1:6" x14ac:dyDescent="0.4">
      <c r="A3" s="9" t="s">
        <v>16</v>
      </c>
      <c r="B3" s="9" t="s">
        <v>111</v>
      </c>
      <c r="C3" s="9" t="s">
        <v>12</v>
      </c>
      <c r="D3" s="9" t="s">
        <v>14</v>
      </c>
      <c r="E3" s="9" t="s">
        <v>18</v>
      </c>
      <c r="F3">
        <v>3733</v>
      </c>
    </row>
    <row r="4" spans="1:6" x14ac:dyDescent="0.4">
      <c r="A4" s="9" t="s">
        <v>19</v>
      </c>
      <c r="B4" s="9" t="s">
        <v>20</v>
      </c>
      <c r="C4" s="9" t="s">
        <v>12</v>
      </c>
      <c r="D4" s="9" t="s">
        <v>14</v>
      </c>
      <c r="E4" s="9" t="s">
        <v>22</v>
      </c>
      <c r="F4">
        <v>6765</v>
      </c>
    </row>
    <row r="5" spans="1:6" x14ac:dyDescent="0.4">
      <c r="A5" s="9" t="s">
        <v>23</v>
      </c>
      <c r="B5" s="9" t="s">
        <v>24</v>
      </c>
      <c r="C5" s="9" t="s">
        <v>25</v>
      </c>
      <c r="D5" s="9" t="s">
        <v>14</v>
      </c>
      <c r="E5" s="9" t="s">
        <v>27</v>
      </c>
      <c r="F5">
        <v>2514</v>
      </c>
    </row>
    <row r="6" spans="1:6" x14ac:dyDescent="0.4">
      <c r="A6" s="9" t="s">
        <v>28</v>
      </c>
      <c r="B6" s="9" t="s">
        <v>112</v>
      </c>
      <c r="C6" s="9" t="s">
        <v>12</v>
      </c>
      <c r="D6" s="9" t="s">
        <v>30</v>
      </c>
      <c r="E6" s="9" t="s">
        <v>18</v>
      </c>
      <c r="F6">
        <v>3834</v>
      </c>
    </row>
    <row r="7" spans="1:6" x14ac:dyDescent="0.4">
      <c r="A7" s="9" t="s">
        <v>31</v>
      </c>
      <c r="B7" s="9" t="s">
        <v>32</v>
      </c>
      <c r="C7" s="9" t="s">
        <v>25</v>
      </c>
      <c r="D7" s="9" t="s">
        <v>30</v>
      </c>
      <c r="E7" s="9" t="s">
        <v>22</v>
      </c>
      <c r="F7">
        <v>2526</v>
      </c>
    </row>
    <row r="8" spans="1:6" x14ac:dyDescent="0.4">
      <c r="A8" s="9" t="s">
        <v>34</v>
      </c>
      <c r="B8" s="9" t="s">
        <v>35</v>
      </c>
      <c r="C8" s="9" t="s">
        <v>12</v>
      </c>
      <c r="D8" s="9" t="s">
        <v>30</v>
      </c>
      <c r="E8" s="9" t="s">
        <v>27</v>
      </c>
      <c r="F8">
        <v>3502</v>
      </c>
    </row>
    <row r="9" spans="1:6" x14ac:dyDescent="0.4">
      <c r="A9" s="9" t="s">
        <v>37</v>
      </c>
      <c r="B9" s="9" t="s">
        <v>113</v>
      </c>
      <c r="C9" s="9" t="s">
        <v>25</v>
      </c>
      <c r="D9" s="9" t="s">
        <v>39</v>
      </c>
      <c r="E9" s="9" t="s">
        <v>15</v>
      </c>
      <c r="F9">
        <v>4055</v>
      </c>
    </row>
    <row r="10" spans="1:6" x14ac:dyDescent="0.4">
      <c r="A10" s="9" t="s">
        <v>40</v>
      </c>
      <c r="B10" s="9" t="s">
        <v>41</v>
      </c>
      <c r="C10" s="9" t="s">
        <v>12</v>
      </c>
      <c r="D10" s="9" t="s">
        <v>39</v>
      </c>
      <c r="E10" s="9" t="s">
        <v>22</v>
      </c>
      <c r="F10">
        <v>3128</v>
      </c>
    </row>
    <row r="11" spans="1:6" x14ac:dyDescent="0.4">
      <c r="A11" s="9" t="s">
        <v>43</v>
      </c>
      <c r="B11" s="9" t="s">
        <v>44</v>
      </c>
      <c r="C11" s="9" t="s">
        <v>12</v>
      </c>
      <c r="D11" s="9" t="s">
        <v>39</v>
      </c>
      <c r="E11" s="9" t="s">
        <v>22</v>
      </c>
      <c r="F11">
        <v>3533</v>
      </c>
    </row>
    <row r="12" spans="1:6" x14ac:dyDescent="0.4">
      <c r="A12" s="9" t="s">
        <v>46</v>
      </c>
      <c r="B12" s="9" t="s">
        <v>114</v>
      </c>
      <c r="C12" s="9" t="s">
        <v>25</v>
      </c>
      <c r="D12" s="9" t="s">
        <v>48</v>
      </c>
      <c r="E12" s="9" t="s">
        <v>18</v>
      </c>
      <c r="F12">
        <v>2733</v>
      </c>
    </row>
    <row r="13" spans="1:6" x14ac:dyDescent="0.4">
      <c r="A13" s="9" t="s">
        <v>49</v>
      </c>
      <c r="B13" s="9" t="s">
        <v>50</v>
      </c>
      <c r="C13" s="9" t="s">
        <v>25</v>
      </c>
      <c r="D13" s="9" t="s">
        <v>48</v>
      </c>
      <c r="E13" s="9" t="s">
        <v>22</v>
      </c>
      <c r="F13">
        <v>2978</v>
      </c>
    </row>
    <row r="14" spans="1:6" x14ac:dyDescent="0.4">
      <c r="A14" s="9" t="s">
        <v>52</v>
      </c>
      <c r="B14" s="9" t="s">
        <v>53</v>
      </c>
      <c r="C14" s="9" t="s">
        <v>25</v>
      </c>
      <c r="D14" s="9" t="s">
        <v>48</v>
      </c>
      <c r="E14" s="9" t="s">
        <v>22</v>
      </c>
      <c r="F14">
        <v>4099</v>
      </c>
    </row>
    <row r="15" spans="1:6" x14ac:dyDescent="0.4">
      <c r="A15" s="9" t="s">
        <v>55</v>
      </c>
      <c r="B15" s="9" t="s">
        <v>56</v>
      </c>
      <c r="C15" s="9" t="s">
        <v>12</v>
      </c>
      <c r="D15" s="9" t="s">
        <v>48</v>
      </c>
      <c r="E15" s="9" t="s">
        <v>22</v>
      </c>
      <c r="F15">
        <v>2478</v>
      </c>
    </row>
    <row r="16" spans="1:6" x14ac:dyDescent="0.4">
      <c r="A16" s="9" t="s">
        <v>58</v>
      </c>
      <c r="B16" s="9" t="s">
        <v>59</v>
      </c>
      <c r="C16" s="9" t="s">
        <v>12</v>
      </c>
      <c r="D16" s="9" t="s">
        <v>48</v>
      </c>
      <c r="E16" s="9" t="s">
        <v>27</v>
      </c>
      <c r="F16">
        <v>1714</v>
      </c>
    </row>
    <row r="17" spans="1:6" x14ac:dyDescent="0.4">
      <c r="A17" s="9" t="s">
        <v>61</v>
      </c>
      <c r="B17" s="9" t="s">
        <v>62</v>
      </c>
      <c r="C17" s="9" t="s">
        <v>25</v>
      </c>
      <c r="D17" s="9" t="s">
        <v>64</v>
      </c>
      <c r="E17" s="9" t="s">
        <v>15</v>
      </c>
      <c r="F17">
        <v>2937</v>
      </c>
    </row>
    <row r="18" spans="1:6" x14ac:dyDescent="0.4">
      <c r="A18" s="9" t="s">
        <v>65</v>
      </c>
      <c r="B18" s="9" t="s">
        <v>115</v>
      </c>
      <c r="C18" s="9" t="s">
        <v>25</v>
      </c>
      <c r="D18" s="9" t="s">
        <v>64</v>
      </c>
      <c r="E18" s="9" t="s">
        <v>22</v>
      </c>
      <c r="F18">
        <v>4017</v>
      </c>
    </row>
    <row r="19" spans="1:6" x14ac:dyDescent="0.4">
      <c r="A19" s="9" t="s">
        <v>67</v>
      </c>
      <c r="B19" s="9" t="s">
        <v>68</v>
      </c>
      <c r="C19" s="9" t="s">
        <v>25</v>
      </c>
      <c r="D19" s="9" t="s">
        <v>64</v>
      </c>
      <c r="E19" s="9" t="s">
        <v>22</v>
      </c>
      <c r="F19">
        <v>3290</v>
      </c>
    </row>
    <row r="20" spans="1:6" x14ac:dyDescent="0.4">
      <c r="A20" s="9" t="s">
        <v>70</v>
      </c>
      <c r="B20" s="9" t="s">
        <v>71</v>
      </c>
      <c r="C20" s="9" t="s">
        <v>12</v>
      </c>
      <c r="D20" s="9" t="s">
        <v>73</v>
      </c>
      <c r="E20" s="9" t="s">
        <v>15</v>
      </c>
      <c r="F20">
        <v>3259</v>
      </c>
    </row>
    <row r="21" spans="1:6" x14ac:dyDescent="0.4">
      <c r="A21" s="9" t="s">
        <v>74</v>
      </c>
      <c r="B21" s="9" t="s">
        <v>75</v>
      </c>
      <c r="C21" s="9" t="s">
        <v>25</v>
      </c>
      <c r="D21" s="9" t="s">
        <v>73</v>
      </c>
      <c r="E21" s="9" t="s">
        <v>22</v>
      </c>
      <c r="F21">
        <v>3236</v>
      </c>
    </row>
    <row r="22" spans="1:6" x14ac:dyDescent="0.4">
      <c r="A22" s="9" t="s">
        <v>77</v>
      </c>
      <c r="B22" s="9" t="s">
        <v>78</v>
      </c>
      <c r="C22" s="9" t="s">
        <v>25</v>
      </c>
      <c r="D22" s="9" t="s">
        <v>73</v>
      </c>
      <c r="E22" s="9" t="s">
        <v>22</v>
      </c>
      <c r="F22">
        <v>3588</v>
      </c>
    </row>
    <row r="23" spans="1:6" x14ac:dyDescent="0.4">
      <c r="A23" s="9" t="s">
        <v>80</v>
      </c>
      <c r="B23" s="9" t="s">
        <v>81</v>
      </c>
      <c r="C23" s="9" t="s">
        <v>12</v>
      </c>
      <c r="D23" s="9" t="s">
        <v>73</v>
      </c>
      <c r="E23" s="9" t="s">
        <v>27</v>
      </c>
      <c r="F23">
        <v>1850</v>
      </c>
    </row>
    <row r="24" spans="1:6" x14ac:dyDescent="0.4">
      <c r="A24" s="9" t="s">
        <v>83</v>
      </c>
      <c r="B24" s="9" t="s">
        <v>84</v>
      </c>
      <c r="C24" s="9" t="s">
        <v>12</v>
      </c>
      <c r="D24" s="9" t="s">
        <v>86</v>
      </c>
      <c r="E24" s="9" t="s">
        <v>22</v>
      </c>
      <c r="F24">
        <v>2274</v>
      </c>
    </row>
    <row r="25" spans="1:6" x14ac:dyDescent="0.4">
      <c r="A25" s="9" t="s">
        <v>87</v>
      </c>
      <c r="B25" s="9" t="s">
        <v>71</v>
      </c>
      <c r="C25" s="9" t="s">
        <v>12</v>
      </c>
      <c r="D25" s="9" t="s">
        <v>86</v>
      </c>
      <c r="E25" s="9" t="s">
        <v>22</v>
      </c>
      <c r="F25">
        <v>2295</v>
      </c>
    </row>
    <row r="26" spans="1:6" x14ac:dyDescent="0.4">
      <c r="A26" s="9" t="s">
        <v>89</v>
      </c>
      <c r="B26" s="9" t="s">
        <v>90</v>
      </c>
      <c r="C26" s="9" t="s">
        <v>25</v>
      </c>
      <c r="D26" s="9" t="s">
        <v>86</v>
      </c>
      <c r="E26" s="9" t="s">
        <v>22</v>
      </c>
      <c r="F26">
        <v>2248</v>
      </c>
    </row>
    <row r="27" spans="1:6" x14ac:dyDescent="0.4">
      <c r="A27" s="9" t="s">
        <v>92</v>
      </c>
      <c r="B27" s="9" t="s">
        <v>93</v>
      </c>
      <c r="C27" s="9" t="s">
        <v>12</v>
      </c>
      <c r="D27" s="9" t="s">
        <v>86</v>
      </c>
      <c r="E27" s="9" t="s">
        <v>27</v>
      </c>
      <c r="F27">
        <v>2699</v>
      </c>
    </row>
    <row r="28" spans="1:6" x14ac:dyDescent="0.4">
      <c r="A28" s="9" t="s">
        <v>95</v>
      </c>
      <c r="B28" s="9" t="s">
        <v>96</v>
      </c>
      <c r="C28" s="9" t="s">
        <v>25</v>
      </c>
      <c r="D28" s="9" t="s">
        <v>86</v>
      </c>
      <c r="E28" s="9" t="s">
        <v>27</v>
      </c>
      <c r="F28">
        <v>1897</v>
      </c>
    </row>
    <row r="29" spans="1:6" x14ac:dyDescent="0.4">
      <c r="A29" s="9" t="s">
        <v>98</v>
      </c>
      <c r="B29" s="9" t="s">
        <v>99</v>
      </c>
      <c r="C29" s="9" t="s">
        <v>25</v>
      </c>
      <c r="D29" s="9" t="s">
        <v>101</v>
      </c>
      <c r="E29" s="9" t="s">
        <v>15</v>
      </c>
      <c r="F29">
        <v>2407</v>
      </c>
    </row>
    <row r="30" spans="1:6" x14ac:dyDescent="0.4">
      <c r="A30" s="9" t="s">
        <v>102</v>
      </c>
      <c r="B30" s="9" t="s">
        <v>103</v>
      </c>
      <c r="C30" s="9" t="s">
        <v>25</v>
      </c>
      <c r="D30" s="9" t="s">
        <v>101</v>
      </c>
      <c r="E30" s="9" t="s">
        <v>18</v>
      </c>
      <c r="F30">
        <v>2625</v>
      </c>
    </row>
    <row r="31" spans="1:6" x14ac:dyDescent="0.4">
      <c r="A31" s="9" t="s">
        <v>105</v>
      </c>
      <c r="B31" s="9" t="s">
        <v>106</v>
      </c>
      <c r="C31" s="9" t="s">
        <v>25</v>
      </c>
      <c r="D31" s="9" t="s">
        <v>101</v>
      </c>
      <c r="E31" s="9" t="s">
        <v>22</v>
      </c>
      <c r="F31">
        <v>2789</v>
      </c>
    </row>
    <row r="32" spans="1:6" x14ac:dyDescent="0.4">
      <c r="A32" s="9" t="s">
        <v>108</v>
      </c>
      <c r="B32" s="9" t="s">
        <v>109</v>
      </c>
      <c r="C32" s="9" t="s">
        <v>25</v>
      </c>
      <c r="D32" s="9" t="s">
        <v>101</v>
      </c>
      <c r="E32" s="9" t="s">
        <v>27</v>
      </c>
      <c r="F32">
        <v>3065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opLeftCell="E1" zoomScale="85" zoomScaleNormal="85" workbookViewId="0">
      <selection activeCell="F3" sqref="F3"/>
    </sheetView>
  </sheetViews>
  <sheetFormatPr defaultColWidth="16.84375" defaultRowHeight="16.5" x14ac:dyDescent="0.35"/>
  <cols>
    <col min="1" max="1" width="10.84375" style="3" customWidth="1"/>
    <col min="2" max="2" width="27.23046875" style="3" bestFit="1" customWidth="1"/>
    <col min="3" max="3" width="14" style="3" customWidth="1"/>
    <col min="4" max="4" width="16.53515625" style="3" customWidth="1"/>
    <col min="5" max="5" width="8.07421875" style="5" customWidth="1"/>
    <col min="6" max="6" width="31.07421875" style="3" bestFit="1" customWidth="1"/>
    <col min="7" max="7" width="13.84375" style="3" customWidth="1"/>
    <col min="8" max="8" width="17.07421875" style="3" customWidth="1"/>
    <col min="9" max="9" width="15.3046875" style="3" customWidth="1"/>
    <col min="10" max="10" width="19.53515625" style="3" customWidth="1"/>
    <col min="11" max="11" width="6.84375" style="3" customWidth="1"/>
    <col min="12" max="16384" width="16.84375" style="3"/>
  </cols>
  <sheetData>
    <row r="1" spans="1:13" ht="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ht="17" x14ac:dyDescent="0.4">
      <c r="A2" t="s">
        <v>10</v>
      </c>
      <c r="B2" t="s">
        <v>11</v>
      </c>
      <c r="C2" t="s">
        <v>12</v>
      </c>
      <c r="D2" s="8">
        <v>24584</v>
      </c>
      <c r="E2">
        <f ca="1">DATEDIF(D2,TODAY(),"Y")</f>
        <v>58</v>
      </c>
      <c r="F2" t="s">
        <v>13</v>
      </c>
      <c r="G2">
        <v>2342</v>
      </c>
      <c r="H2">
        <v>600</v>
      </c>
      <c r="I2" t="s">
        <v>14</v>
      </c>
      <c r="J2" t="s">
        <v>15</v>
      </c>
      <c r="K2" s="4"/>
      <c r="L2" s="3" t="s">
        <v>116</v>
      </c>
    </row>
    <row r="3" spans="1:13" ht="17" x14ac:dyDescent="0.4">
      <c r="A3" t="s">
        <v>16</v>
      </c>
      <c r="B3" t="s">
        <v>111</v>
      </c>
      <c r="C3" t="s">
        <v>12</v>
      </c>
      <c r="D3" s="8">
        <v>22061</v>
      </c>
      <c r="E3">
        <f t="shared" ref="E3:E32" ca="1" si="0">DATEDIF(D3,TODAY(),"Y")</f>
        <v>64</v>
      </c>
      <c r="F3" t="s">
        <v>17</v>
      </c>
      <c r="G3">
        <v>3333</v>
      </c>
      <c r="H3">
        <v>400</v>
      </c>
      <c r="I3"/>
      <c r="J3" t="s">
        <v>18</v>
      </c>
      <c r="K3" s="4"/>
    </row>
    <row r="4" spans="1:13" ht="17" x14ac:dyDescent="0.4">
      <c r="A4" t="s">
        <v>19</v>
      </c>
      <c r="B4" t="s">
        <v>20</v>
      </c>
      <c r="C4" t="s">
        <v>12</v>
      </c>
      <c r="D4" s="8">
        <v>30375</v>
      </c>
      <c r="E4">
        <f t="shared" ca="1" si="0"/>
        <v>42</v>
      </c>
      <c r="F4" t="s">
        <v>21</v>
      </c>
      <c r="G4">
        <v>6565</v>
      </c>
      <c r="H4">
        <v>200</v>
      </c>
      <c r="I4"/>
      <c r="J4" t="s">
        <v>22</v>
      </c>
      <c r="K4" s="4"/>
    </row>
    <row r="5" spans="1:13" ht="17" x14ac:dyDescent="0.4">
      <c r="A5" t="s">
        <v>23</v>
      </c>
      <c r="B5" t="s">
        <v>24</v>
      </c>
      <c r="C5" t="s">
        <v>25</v>
      </c>
      <c r="D5" s="8">
        <v>28693</v>
      </c>
      <c r="E5">
        <f t="shared" ca="1" si="0"/>
        <v>46</v>
      </c>
      <c r="F5" t="s">
        <v>26</v>
      </c>
      <c r="G5">
        <v>2444</v>
      </c>
      <c r="H5">
        <v>70</v>
      </c>
      <c r="I5"/>
      <c r="J5" t="s">
        <v>27</v>
      </c>
      <c r="K5" s="4"/>
      <c r="M5" s="7"/>
    </row>
    <row r="6" spans="1:13" ht="17" x14ac:dyDescent="0.4">
      <c r="A6" t="s">
        <v>28</v>
      </c>
      <c r="B6" t="s">
        <v>112</v>
      </c>
      <c r="C6" t="s">
        <v>12</v>
      </c>
      <c r="D6" s="8">
        <v>26223</v>
      </c>
      <c r="E6">
        <f t="shared" ca="1" si="0"/>
        <v>53</v>
      </c>
      <c r="F6" t="s">
        <v>29</v>
      </c>
      <c r="G6">
        <v>3434</v>
      </c>
      <c r="H6">
        <v>400</v>
      </c>
      <c r="I6" t="s">
        <v>30</v>
      </c>
      <c r="J6" t="s">
        <v>18</v>
      </c>
      <c r="K6" s="4"/>
      <c r="M6" s="7"/>
    </row>
    <row r="7" spans="1:13" ht="17" x14ac:dyDescent="0.4">
      <c r="A7" t="s">
        <v>31</v>
      </c>
      <c r="B7" t="s">
        <v>32</v>
      </c>
      <c r="C7" t="s">
        <v>25</v>
      </c>
      <c r="D7" s="8">
        <v>28259</v>
      </c>
      <c r="E7">
        <f t="shared" ca="1" si="0"/>
        <v>47</v>
      </c>
      <c r="F7" t="s">
        <v>33</v>
      </c>
      <c r="G7">
        <v>2326</v>
      </c>
      <c r="H7">
        <v>200</v>
      </c>
      <c r="I7"/>
      <c r="J7" t="s">
        <v>22</v>
      </c>
      <c r="K7" s="4"/>
      <c r="M7" s="7"/>
    </row>
    <row r="8" spans="1:13" ht="17" x14ac:dyDescent="0.4">
      <c r="A8" t="s">
        <v>34</v>
      </c>
      <c r="B8" t="s">
        <v>35</v>
      </c>
      <c r="C8" t="s">
        <v>12</v>
      </c>
      <c r="D8" s="8">
        <v>24210</v>
      </c>
      <c r="E8">
        <f t="shared" ca="1" si="0"/>
        <v>59</v>
      </c>
      <c r="F8" t="s">
        <v>36</v>
      </c>
      <c r="G8">
        <v>3432</v>
      </c>
      <c r="H8">
        <v>70</v>
      </c>
      <c r="I8"/>
      <c r="J8" t="s">
        <v>27</v>
      </c>
      <c r="K8" s="4"/>
      <c r="M8" s="7"/>
    </row>
    <row r="9" spans="1:13" ht="17" x14ac:dyDescent="0.4">
      <c r="A9" t="s">
        <v>37</v>
      </c>
      <c r="B9" t="s">
        <v>113</v>
      </c>
      <c r="C9" t="s">
        <v>25</v>
      </c>
      <c r="D9" s="8">
        <v>26193</v>
      </c>
      <c r="E9">
        <f t="shared" ca="1" si="0"/>
        <v>53</v>
      </c>
      <c r="F9" t="s">
        <v>38</v>
      </c>
      <c r="G9">
        <v>3455</v>
      </c>
      <c r="H9">
        <v>600</v>
      </c>
      <c r="I9" t="s">
        <v>39</v>
      </c>
      <c r="J9" t="s">
        <v>15</v>
      </c>
      <c r="K9" s="4"/>
      <c r="M9" s="7"/>
    </row>
    <row r="10" spans="1:13" ht="17" x14ac:dyDescent="0.4">
      <c r="A10" t="s">
        <v>40</v>
      </c>
      <c r="B10" t="s">
        <v>41</v>
      </c>
      <c r="C10" t="s">
        <v>12</v>
      </c>
      <c r="D10" s="8">
        <v>29624</v>
      </c>
      <c r="E10">
        <f t="shared" ca="1" si="0"/>
        <v>44</v>
      </c>
      <c r="F10" t="s">
        <v>42</v>
      </c>
      <c r="G10">
        <v>2928</v>
      </c>
      <c r="H10">
        <v>200</v>
      </c>
      <c r="I10"/>
      <c r="J10" t="s">
        <v>22</v>
      </c>
      <c r="K10" s="4"/>
      <c r="M10" s="7"/>
    </row>
    <row r="11" spans="1:13" ht="17" x14ac:dyDescent="0.4">
      <c r="A11" t="s">
        <v>43</v>
      </c>
      <c r="B11" t="s">
        <v>44</v>
      </c>
      <c r="C11" t="s">
        <v>12</v>
      </c>
      <c r="D11" s="8">
        <v>26849</v>
      </c>
      <c r="E11">
        <f t="shared" ca="1" si="0"/>
        <v>51</v>
      </c>
      <c r="F11" t="s">
        <v>45</v>
      </c>
      <c r="G11">
        <v>3333</v>
      </c>
      <c r="H11">
        <v>200</v>
      </c>
      <c r="I11"/>
      <c r="J11" t="s">
        <v>22</v>
      </c>
      <c r="K11" s="4"/>
      <c r="M11" s="7"/>
    </row>
    <row r="12" spans="1:13" ht="17" x14ac:dyDescent="0.4">
      <c r="A12" t="s">
        <v>46</v>
      </c>
      <c r="B12" t="s">
        <v>114</v>
      </c>
      <c r="C12" t="s">
        <v>25</v>
      </c>
      <c r="D12" s="8">
        <v>22286</v>
      </c>
      <c r="E12">
        <f t="shared" ca="1" si="0"/>
        <v>64</v>
      </c>
      <c r="F12" t="s">
        <v>47</v>
      </c>
      <c r="G12">
        <v>2333</v>
      </c>
      <c r="H12">
        <v>400</v>
      </c>
      <c r="I12" t="s">
        <v>48</v>
      </c>
      <c r="J12" t="s">
        <v>18</v>
      </c>
      <c r="K12" s="4"/>
      <c r="M12" s="7"/>
    </row>
    <row r="13" spans="1:13" ht="17" x14ac:dyDescent="0.4">
      <c r="A13" t="s">
        <v>49</v>
      </c>
      <c r="B13" t="s">
        <v>50</v>
      </c>
      <c r="C13" t="s">
        <v>25</v>
      </c>
      <c r="D13" s="8">
        <v>25032</v>
      </c>
      <c r="E13">
        <f t="shared" ca="1" si="0"/>
        <v>56</v>
      </c>
      <c r="F13" t="s">
        <v>51</v>
      </c>
      <c r="G13">
        <v>2778</v>
      </c>
      <c r="H13">
        <v>200</v>
      </c>
      <c r="I13"/>
      <c r="J13" t="s">
        <v>22</v>
      </c>
      <c r="K13" s="4"/>
      <c r="M13" s="7"/>
    </row>
    <row r="14" spans="1:13" ht="17" x14ac:dyDescent="0.4">
      <c r="A14" t="s">
        <v>52</v>
      </c>
      <c r="B14" t="s">
        <v>53</v>
      </c>
      <c r="C14" t="s">
        <v>25</v>
      </c>
      <c r="D14" s="8">
        <v>30390</v>
      </c>
      <c r="E14">
        <f t="shared" ca="1" si="0"/>
        <v>42</v>
      </c>
      <c r="F14" t="s">
        <v>54</v>
      </c>
      <c r="G14">
        <v>3899</v>
      </c>
      <c r="H14">
        <v>200</v>
      </c>
      <c r="I14"/>
      <c r="J14" t="s">
        <v>22</v>
      </c>
      <c r="K14" s="4"/>
    </row>
    <row r="15" spans="1:13" ht="17" x14ac:dyDescent="0.4">
      <c r="A15" t="s">
        <v>55</v>
      </c>
      <c r="B15" t="s">
        <v>56</v>
      </c>
      <c r="C15" t="s">
        <v>12</v>
      </c>
      <c r="D15" s="8">
        <v>31427</v>
      </c>
      <c r="E15">
        <f t="shared" ca="1" si="0"/>
        <v>39</v>
      </c>
      <c r="F15" t="s">
        <v>57</v>
      </c>
      <c r="G15">
        <v>2278</v>
      </c>
      <c r="H15">
        <v>200</v>
      </c>
      <c r="I15"/>
      <c r="J15" t="s">
        <v>22</v>
      </c>
      <c r="K15" s="4"/>
    </row>
    <row r="16" spans="1:13" ht="17" x14ac:dyDescent="0.4">
      <c r="A16" t="s">
        <v>58</v>
      </c>
      <c r="B16" t="s">
        <v>59</v>
      </c>
      <c r="C16" t="s">
        <v>12</v>
      </c>
      <c r="D16" s="8">
        <v>24798</v>
      </c>
      <c r="E16">
        <f t="shared" ca="1" si="0"/>
        <v>57</v>
      </c>
      <c r="F16" t="s">
        <v>60</v>
      </c>
      <c r="G16">
        <v>1644</v>
      </c>
      <c r="H16">
        <v>70</v>
      </c>
      <c r="I16"/>
      <c r="J16" t="s">
        <v>27</v>
      </c>
      <c r="K16" s="4"/>
    </row>
    <row r="17" spans="1:13" ht="17" x14ac:dyDescent="0.4">
      <c r="A17" t="s">
        <v>61</v>
      </c>
      <c r="B17" t="s">
        <v>62</v>
      </c>
      <c r="C17" t="s">
        <v>25</v>
      </c>
      <c r="D17" s="8">
        <v>24553</v>
      </c>
      <c r="E17">
        <f t="shared" ca="1" si="0"/>
        <v>58</v>
      </c>
      <c r="F17" t="s">
        <v>63</v>
      </c>
      <c r="G17">
        <v>2337</v>
      </c>
      <c r="H17">
        <v>600</v>
      </c>
      <c r="I17" t="s">
        <v>64</v>
      </c>
      <c r="J17" t="s">
        <v>15</v>
      </c>
      <c r="K17" s="4"/>
    </row>
    <row r="18" spans="1:13" ht="17" x14ac:dyDescent="0.4">
      <c r="A18" t="s">
        <v>65</v>
      </c>
      <c r="B18" t="s">
        <v>115</v>
      </c>
      <c r="C18" t="s">
        <v>25</v>
      </c>
      <c r="D18" s="8">
        <v>27026</v>
      </c>
      <c r="E18">
        <f t="shared" ca="1" si="0"/>
        <v>51</v>
      </c>
      <c r="F18" t="s">
        <v>66</v>
      </c>
      <c r="G18">
        <v>3817</v>
      </c>
      <c r="H18">
        <v>200</v>
      </c>
      <c r="I18"/>
      <c r="J18" t="s">
        <v>22</v>
      </c>
      <c r="K18" s="4"/>
    </row>
    <row r="19" spans="1:13" ht="17" x14ac:dyDescent="0.4">
      <c r="A19" t="s">
        <v>67</v>
      </c>
      <c r="B19" t="s">
        <v>68</v>
      </c>
      <c r="C19" t="s">
        <v>25</v>
      </c>
      <c r="D19" s="8">
        <v>29843</v>
      </c>
      <c r="E19">
        <f t="shared" ca="1" si="0"/>
        <v>43</v>
      </c>
      <c r="F19" t="s">
        <v>69</v>
      </c>
      <c r="G19">
        <v>3090</v>
      </c>
      <c r="H19">
        <v>200</v>
      </c>
      <c r="I19"/>
      <c r="J19" t="s">
        <v>22</v>
      </c>
      <c r="K19" s="4"/>
      <c r="M19" s="7"/>
    </row>
    <row r="20" spans="1:13" ht="17" x14ac:dyDescent="0.4">
      <c r="A20" t="s">
        <v>70</v>
      </c>
      <c r="B20" t="s">
        <v>71</v>
      </c>
      <c r="C20" t="s">
        <v>12</v>
      </c>
      <c r="D20" s="8">
        <v>25307</v>
      </c>
      <c r="E20">
        <f t="shared" ca="1" si="0"/>
        <v>56</v>
      </c>
      <c r="F20" t="s">
        <v>72</v>
      </c>
      <c r="G20">
        <v>2659</v>
      </c>
      <c r="H20">
        <v>600</v>
      </c>
      <c r="I20" t="s">
        <v>73</v>
      </c>
      <c r="J20" t="s">
        <v>15</v>
      </c>
      <c r="K20" s="4"/>
    </row>
    <row r="21" spans="1:13" ht="17" x14ac:dyDescent="0.4">
      <c r="A21" t="s">
        <v>74</v>
      </c>
      <c r="B21" t="s">
        <v>75</v>
      </c>
      <c r="C21" t="s">
        <v>25</v>
      </c>
      <c r="D21" s="8">
        <v>23489</v>
      </c>
      <c r="E21">
        <f t="shared" ca="1" si="0"/>
        <v>61</v>
      </c>
      <c r="F21" t="s">
        <v>76</v>
      </c>
      <c r="G21">
        <v>3036</v>
      </c>
      <c r="H21">
        <v>200</v>
      </c>
      <c r="I21"/>
      <c r="J21" t="s">
        <v>22</v>
      </c>
      <c r="K21" s="4"/>
    </row>
    <row r="22" spans="1:13" ht="17" x14ac:dyDescent="0.4">
      <c r="A22" t="s">
        <v>77</v>
      </c>
      <c r="B22" t="s">
        <v>78</v>
      </c>
      <c r="C22" t="s">
        <v>25</v>
      </c>
      <c r="D22" s="8">
        <v>22898</v>
      </c>
      <c r="E22">
        <f t="shared" ca="1" si="0"/>
        <v>62</v>
      </c>
      <c r="F22" t="s">
        <v>79</v>
      </c>
      <c r="G22">
        <v>3388</v>
      </c>
      <c r="H22">
        <v>200</v>
      </c>
      <c r="I22"/>
      <c r="J22" t="s">
        <v>22</v>
      </c>
      <c r="K22" s="4"/>
    </row>
    <row r="23" spans="1:13" ht="17" x14ac:dyDescent="0.4">
      <c r="A23" t="s">
        <v>80</v>
      </c>
      <c r="B23" t="s">
        <v>81</v>
      </c>
      <c r="C23" t="s">
        <v>12</v>
      </c>
      <c r="D23" s="8">
        <v>26119</v>
      </c>
      <c r="E23">
        <f t="shared" ca="1" si="0"/>
        <v>53</v>
      </c>
      <c r="F23" t="s">
        <v>82</v>
      </c>
      <c r="G23">
        <v>1780</v>
      </c>
      <c r="H23">
        <v>70</v>
      </c>
      <c r="I23"/>
      <c r="J23" t="s">
        <v>27</v>
      </c>
      <c r="K23" s="4"/>
    </row>
    <row r="24" spans="1:13" s="1" customFormat="1" ht="17" x14ac:dyDescent="0.4">
      <c r="A24" t="s">
        <v>83</v>
      </c>
      <c r="B24" t="s">
        <v>84</v>
      </c>
      <c r="C24" t="s">
        <v>12</v>
      </c>
      <c r="D24" s="8">
        <v>24869</v>
      </c>
      <c r="E24">
        <f t="shared" ca="1" si="0"/>
        <v>57</v>
      </c>
      <c r="F24" t="s">
        <v>85</v>
      </c>
      <c r="G24">
        <v>2074</v>
      </c>
      <c r="H24">
        <v>200</v>
      </c>
      <c r="I24" t="s">
        <v>86</v>
      </c>
      <c r="J24" t="s">
        <v>22</v>
      </c>
      <c r="K24" s="4"/>
      <c r="L24" s="3"/>
    </row>
    <row r="25" spans="1:13" ht="17" x14ac:dyDescent="0.4">
      <c r="A25" t="s">
        <v>87</v>
      </c>
      <c r="B25" t="s">
        <v>71</v>
      </c>
      <c r="C25" t="s">
        <v>12</v>
      </c>
      <c r="D25" s="8">
        <v>24801</v>
      </c>
      <c r="E25">
        <f t="shared" ca="1" si="0"/>
        <v>57</v>
      </c>
      <c r="F25" t="s">
        <v>88</v>
      </c>
      <c r="G25">
        <v>2095</v>
      </c>
      <c r="H25">
        <v>200</v>
      </c>
      <c r="I25"/>
      <c r="J25" t="s">
        <v>22</v>
      </c>
      <c r="K25" s="4"/>
    </row>
    <row r="26" spans="1:13" ht="17" x14ac:dyDescent="0.4">
      <c r="A26" t="s">
        <v>89</v>
      </c>
      <c r="B26" t="s">
        <v>90</v>
      </c>
      <c r="C26" t="s">
        <v>25</v>
      </c>
      <c r="D26" s="8">
        <v>22392</v>
      </c>
      <c r="E26">
        <f t="shared" ca="1" si="0"/>
        <v>64</v>
      </c>
      <c r="F26" t="s">
        <v>91</v>
      </c>
      <c r="G26">
        <v>2048</v>
      </c>
      <c r="H26">
        <v>200</v>
      </c>
      <c r="I26"/>
      <c r="J26" t="s">
        <v>22</v>
      </c>
      <c r="K26" s="4"/>
    </row>
    <row r="27" spans="1:13" ht="17" x14ac:dyDescent="0.4">
      <c r="A27" t="s">
        <v>92</v>
      </c>
      <c r="B27" t="s">
        <v>93</v>
      </c>
      <c r="C27" t="s">
        <v>12</v>
      </c>
      <c r="D27" s="8">
        <v>30956</v>
      </c>
      <c r="E27">
        <f t="shared" ca="1" si="0"/>
        <v>40</v>
      </c>
      <c r="F27" t="s">
        <v>94</v>
      </c>
      <c r="G27">
        <v>2629</v>
      </c>
      <c r="H27">
        <v>70</v>
      </c>
      <c r="I27"/>
      <c r="J27" t="s">
        <v>27</v>
      </c>
      <c r="K27" s="4"/>
    </row>
    <row r="28" spans="1:13" ht="17" x14ac:dyDescent="0.4">
      <c r="A28" t="s">
        <v>95</v>
      </c>
      <c r="B28" t="s">
        <v>96</v>
      </c>
      <c r="C28" t="s">
        <v>25</v>
      </c>
      <c r="D28" s="8">
        <v>31352</v>
      </c>
      <c r="E28">
        <f t="shared" ca="1" si="0"/>
        <v>39</v>
      </c>
      <c r="F28" t="s">
        <v>97</v>
      </c>
      <c r="G28">
        <v>1827</v>
      </c>
      <c r="H28">
        <v>70</v>
      </c>
      <c r="I28"/>
      <c r="J28" t="s">
        <v>27</v>
      </c>
      <c r="K28" s="4"/>
    </row>
    <row r="29" spans="1:13" ht="17" x14ac:dyDescent="0.4">
      <c r="A29" t="s">
        <v>98</v>
      </c>
      <c r="B29" t="s">
        <v>99</v>
      </c>
      <c r="C29" t="s">
        <v>25</v>
      </c>
      <c r="D29" s="8">
        <v>23161</v>
      </c>
      <c r="E29">
        <f t="shared" ca="1" si="0"/>
        <v>61</v>
      </c>
      <c r="F29" t="s">
        <v>100</v>
      </c>
      <c r="G29">
        <v>1707</v>
      </c>
      <c r="H29">
        <v>700</v>
      </c>
      <c r="I29" t="s">
        <v>101</v>
      </c>
      <c r="J29" t="s">
        <v>15</v>
      </c>
      <c r="K29" s="4"/>
    </row>
    <row r="30" spans="1:13" ht="17" x14ac:dyDescent="0.4">
      <c r="A30" t="s">
        <v>102</v>
      </c>
      <c r="B30" t="s">
        <v>103</v>
      </c>
      <c r="C30" t="s">
        <v>25</v>
      </c>
      <c r="D30" s="8">
        <v>27207</v>
      </c>
      <c r="E30">
        <f t="shared" ca="1" si="0"/>
        <v>50</v>
      </c>
      <c r="F30" t="s">
        <v>104</v>
      </c>
      <c r="G30">
        <v>2125</v>
      </c>
      <c r="H30">
        <v>500</v>
      </c>
      <c r="I30"/>
      <c r="J30" t="s">
        <v>18</v>
      </c>
      <c r="K30" s="4"/>
    </row>
    <row r="31" spans="1:13" ht="17" x14ac:dyDescent="0.4">
      <c r="A31" t="s">
        <v>105</v>
      </c>
      <c r="B31" t="s">
        <v>106</v>
      </c>
      <c r="C31" t="s">
        <v>25</v>
      </c>
      <c r="D31" s="8">
        <v>25235</v>
      </c>
      <c r="E31">
        <f t="shared" ca="1" si="0"/>
        <v>56</v>
      </c>
      <c r="F31" t="s">
        <v>107</v>
      </c>
      <c r="G31">
        <v>2489</v>
      </c>
      <c r="H31">
        <v>300</v>
      </c>
      <c r="I31"/>
      <c r="J31" t="s">
        <v>22</v>
      </c>
      <c r="K31" s="4"/>
    </row>
    <row r="32" spans="1:13" ht="17" x14ac:dyDescent="0.4">
      <c r="A32" t="s">
        <v>108</v>
      </c>
      <c r="B32" t="s">
        <v>109</v>
      </c>
      <c r="C32" t="s">
        <v>25</v>
      </c>
      <c r="D32" s="8">
        <v>32118</v>
      </c>
      <c r="E32">
        <f t="shared" ca="1" si="0"/>
        <v>37</v>
      </c>
      <c r="F32" t="s">
        <v>110</v>
      </c>
      <c r="G32">
        <v>2995</v>
      </c>
      <c r="H32">
        <v>70</v>
      </c>
      <c r="I32"/>
      <c r="J32" t="s">
        <v>27</v>
      </c>
      <c r="K32" s="4"/>
    </row>
    <row r="33" spans="7:9" x14ac:dyDescent="0.35">
      <c r="G33" s="6"/>
    </row>
    <row r="35" spans="7:9" x14ac:dyDescent="0.35">
      <c r="I35" s="2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2105A-7829-4E5E-B576-ABDE848F0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Raw Data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Chee Chong</dc:creator>
  <cp:lastModifiedBy>Muhammad Farid Farhat</cp:lastModifiedBy>
  <dcterms:created xsi:type="dcterms:W3CDTF">2010-01-19T06:53:51Z</dcterms:created>
  <dcterms:modified xsi:type="dcterms:W3CDTF">2025-04-23T04:09:49Z</dcterms:modified>
</cp:coreProperties>
</file>